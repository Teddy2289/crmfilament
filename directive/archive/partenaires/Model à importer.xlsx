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crmfilament\directive\archive\partenaires\"/>
    </mc:Choice>
  </mc:AlternateContent>
  <xr:revisionPtr revIDLastSave="0" documentId="8_{3F6E714B-E30A-415C-97B2-408055ED481A}" xr6:coauthVersionLast="47" xr6:coauthVersionMax="47" xr10:uidLastSave="{00000000-0000-0000-0000-000000000000}"/>
  <bookViews>
    <workbookView xWindow="-108" yWindow="-108" windowWidth="23256" windowHeight="12456" activeTab="5" xr2:uid="{E9ECD325-9B4E-4704-9C1A-C34A87CB496F}"/>
  </bookViews>
  <sheets>
    <sheet name="MAJ" sheetId="1" r:id="rId1"/>
    <sheet name="Arnaud LANDAIS" sheetId="2" r:id="rId2"/>
    <sheet name="Alexandre FLOREK" sheetId="3" r:id="rId3"/>
    <sheet name="Boutique" sheetId="4" r:id="rId4"/>
    <sheet name="Cédrric DELABI" sheetId="5" r:id="rId5"/>
    <sheet name="PERMANENCES ET VENTES 2025&amp;2026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G28" i="6" l="1"/>
  <c r="AH28" i="6" s="1"/>
  <c r="AE28" i="6"/>
  <c r="AG27" i="6"/>
  <c r="AH27" i="6" s="1"/>
  <c r="AE27" i="6"/>
  <c r="AE24" i="6"/>
  <c r="AG24" i="6" s="1"/>
  <c r="AH24" i="6" s="1"/>
  <c r="AG23" i="6"/>
  <c r="AH23" i="6" s="1"/>
  <c r="AE23" i="6"/>
  <c r="AG14" i="6"/>
  <c r="AH14" i="6" s="1"/>
  <c r="AE14" i="6"/>
  <c r="AG11" i="6"/>
  <c r="AH11" i="6" s="1"/>
  <c r="AE11" i="6"/>
  <c r="AE5" i="6"/>
  <c r="AG5" i="6" s="1"/>
  <c r="AH5" i="6" s="1"/>
  <c r="AG3" i="6"/>
  <c r="AH3" i="6" s="1"/>
  <c r="AE3" i="6"/>
  <c r="AL4" i="5"/>
  <c r="AN4" i="5" s="1"/>
  <c r="AO4" i="5" s="1"/>
  <c r="AL8" i="3"/>
  <c r="AN8" i="3" s="1"/>
  <c r="AL5" i="2"/>
  <c r="AN5" i="2" s="1"/>
  <c r="AO5" i="2" s="1"/>
  <c r="AN4" i="2"/>
  <c r="AO4" i="2" s="1"/>
  <c r="AL4" i="2"/>
  <c r="AL3" i="2"/>
  <c r="AN3" i="2" s="1"/>
  <c r="AO3" i="2" s="1"/>
  <c r="AL2" i="2"/>
  <c r="AN2" i="2" s="1"/>
  <c r="AO2" i="2" s="1"/>
  <c r="AL7" i="1"/>
  <c r="AN7" i="1" s="1"/>
  <c r="AO7" i="1" s="1"/>
  <c r="AL6" i="1"/>
  <c r="AN6" i="1" s="1"/>
  <c r="AO6" i="1" s="1"/>
  <c r="AL4" i="1"/>
  <c r="AN4" i="1" s="1"/>
  <c r="AO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tc={1546dea1-e838-45a3-bc0c-332d659e2f4b}</author>
  </authors>
  <commentList>
    <comment ref="A1" authorId="0" shapeId="0" xr:uid="{B273CA76-EBC9-478F-A067-5DBEEBDB5634}">
      <text>
        <r>
          <rPr>
            <sz val="10"/>
            <color rgb="FF000000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ENTREPRISE EN COURS
</t>
        </r>
      </text>
    </comment>
  </commentList>
</comments>
</file>

<file path=xl/sharedStrings.xml><?xml version="1.0" encoding="utf-8"?>
<sst xmlns="http://schemas.openxmlformats.org/spreadsheetml/2006/main" count="1088" uniqueCount="498">
  <si>
    <t>Entité</t>
  </si>
  <si>
    <t>ENTREPRISE</t>
  </si>
  <si>
    <t>NOM RETENU (NOM + VILLE + DEPT + TYPE)</t>
  </si>
  <si>
    <t>Nb salariés</t>
  </si>
  <si>
    <t>Statut</t>
  </si>
  <si>
    <t>Année</t>
  </si>
  <si>
    <t>Date de signature</t>
  </si>
  <si>
    <t>Nombre
de ventes</t>
  </si>
  <si>
    <t>Dernière
vente</t>
  </si>
  <si>
    <t>Ventes
2025</t>
  </si>
  <si>
    <t>Ventes
2026</t>
  </si>
  <si>
    <t>Dernière
permanence</t>
  </si>
  <si>
    <t>Nbre permanence
2025</t>
  </si>
  <si>
    <t>Nbre permanence
2026</t>
  </si>
  <si>
    <t>TYPE</t>
  </si>
  <si>
    <t xml:space="preserve">Origine du partenariats </t>
  </si>
  <si>
    <t>PARRAIN/MARRAINE</t>
  </si>
  <si>
    <t>Conseiller</t>
  </si>
  <si>
    <t>Ancien conseiller</t>
  </si>
  <si>
    <t>Mandataire/VDI</t>
  </si>
  <si>
    <t>Département conseiller</t>
  </si>
  <si>
    <t>Adresse CSE</t>
  </si>
  <si>
    <t>Code postal CSE</t>
  </si>
  <si>
    <t>Commune CSE</t>
  </si>
  <si>
    <t>Nom du contact</t>
  </si>
  <si>
    <t>Prénom du contact</t>
  </si>
  <si>
    <t>Fonction du contact</t>
  </si>
  <si>
    <t>Mail</t>
  </si>
  <si>
    <t>Tél portable</t>
  </si>
  <si>
    <t>Tél fixe</t>
  </si>
  <si>
    <t>Préférence de contact</t>
  </si>
  <si>
    <t>Autres interlocuteurs</t>
  </si>
  <si>
    <t>Parrainage d'entreprise ?</t>
  </si>
  <si>
    <t>Possibilité de permanence ?</t>
  </si>
  <si>
    <t>Réplicable</t>
  </si>
  <si>
    <t>Prix du PC</t>
  </si>
  <si>
    <t>Aopia</t>
  </si>
  <si>
    <t>Tarifs</t>
  </si>
  <si>
    <t>Part CSE</t>
  </si>
  <si>
    <t>Part salarié</t>
  </si>
  <si>
    <t>Tarifs à afficher sur la comm</t>
  </si>
  <si>
    <t>Adresse de factu si participation du CSE</t>
  </si>
  <si>
    <t>COMMENTAIRES</t>
  </si>
  <si>
    <t>AOPIA</t>
  </si>
  <si>
    <t>@COM PYRENEES</t>
  </si>
  <si>
    <t>@COM PYRENEES TARBES  65 ENTREPRISE</t>
  </si>
  <si>
    <t>Signé nouveau process</t>
  </si>
  <si>
    <t>/</t>
  </si>
  <si>
    <t>Entreprise</t>
  </si>
  <si>
    <t>JACQUART Marie-Hélène</t>
  </si>
  <si>
    <t>Mandataire</t>
  </si>
  <si>
    <t>29 Rue Blaise Pascal</t>
  </si>
  <si>
    <t>TARBES</t>
  </si>
  <si>
    <t>BORDENAVE</t>
  </si>
  <si>
    <t>Julien</t>
  </si>
  <si>
    <t>Secrétaire</t>
  </si>
  <si>
    <t xml:space="preserve"> julien.bordenave@acomexpertise.com</t>
  </si>
  <si>
    <t>05 82 15 07 24</t>
  </si>
  <si>
    <t>37DEUX</t>
  </si>
  <si>
    <t>Refus</t>
  </si>
  <si>
    <t>HÉRAULT Véronique</t>
  </si>
  <si>
    <t>Parc D Activite Actilonne</t>
  </si>
  <si>
    <t>85340</t>
  </si>
  <si>
    <t>LES SABLES-D'OLONNE</t>
  </si>
  <si>
    <t>02 51 23 84 99</t>
  </si>
  <si>
    <t>4MURS</t>
  </si>
  <si>
    <t>4MURS MARLY 57 CSE</t>
  </si>
  <si>
    <t>Signée</t>
  </si>
  <si>
    <t>CSE</t>
  </si>
  <si>
    <t>GAUVILLE Ghislaine</t>
  </si>
  <si>
    <t>Salariée</t>
  </si>
  <si>
    <t>74 Rue Costes et Bellonte BP 80060</t>
  </si>
  <si>
    <t>MARLY CEDEX</t>
  </si>
  <si>
    <t>SIDOLI
LAVERGER</t>
  </si>
  <si>
    <t>Corinne
Sophie</t>
  </si>
  <si>
    <t>Secrétaire
Secrétaire Adjointe</t>
  </si>
  <si>
    <t>corinne.sidoli@4murs.fr
sophie.laverger@4murs.fr</t>
  </si>
  <si>
    <t>06 98 72 04 66
06 58 47 61 04</t>
  </si>
  <si>
    <t>NON</t>
  </si>
  <si>
    <t>OUI</t>
  </si>
  <si>
    <t>6MR SAFETY</t>
  </si>
  <si>
    <t>En prospect</t>
  </si>
  <si>
    <t>Salon CSE Bordeaux 2025</t>
  </si>
  <si>
    <t>BOUTIN Séverine</t>
  </si>
  <si>
    <t>PRC</t>
  </si>
  <si>
    <t xml:space="preserve">KOWALSKI </t>
  </si>
  <si>
    <t>Cédric</t>
  </si>
  <si>
    <t>ckowalski@gmrsafety.com</t>
  </si>
  <si>
    <t>07 77 60 95 65</t>
  </si>
  <si>
    <t>à recontacter en juin pour un éventuel partenariat + mail envoyé avec les différents documents.</t>
  </si>
  <si>
    <t>ABCIS POITOU BY AUTOSPHERE</t>
  </si>
  <si>
    <t>ABCIS POITOU BY AUTOSPHERE BUXEROLLES 86 CSE</t>
  </si>
  <si>
    <t>GRUAUD Sandrine</t>
  </si>
  <si>
    <t>27 Rue des Deux Communes</t>
  </si>
  <si>
    <t>BUXEROLLES</t>
  </si>
  <si>
    <t>FOURNIER</t>
  </si>
  <si>
    <t>Valérie</t>
  </si>
  <si>
    <t>Trésorière Adjointe</t>
  </si>
  <si>
    <t>valerie.fournier@emilfrey.fr</t>
  </si>
  <si>
    <t>06 18 27 62 11</t>
  </si>
  <si>
    <t>05 49 45 21 22</t>
  </si>
  <si>
    <t>ABCIS TOURAINE</t>
  </si>
  <si>
    <t>ABCIS TOURAINE ST CYR SUR LOIRE 37 CSE</t>
  </si>
  <si>
    <t>En cours</t>
  </si>
  <si>
    <t>BOUCHER Anthony</t>
  </si>
  <si>
    <t>215 Boulevard Charles de Gaulle</t>
  </si>
  <si>
    <t>ST CYR SUR LOIRE</t>
  </si>
  <si>
    <t>LISSORGUES</t>
  </si>
  <si>
    <t>Nadia</t>
  </si>
  <si>
    <t>isabelle.benoit1@emilfrey.fr</t>
  </si>
  <si>
    <t>02 47 40 63 58</t>
  </si>
  <si>
    <t>Isabelle BENOIT - Trésorière</t>
  </si>
  <si>
    <t>ANETT THOUARS</t>
  </si>
  <si>
    <t>ANETT THOUARS 79 CSE</t>
  </si>
  <si>
    <t>LANDAIS Arnaud</t>
  </si>
  <si>
    <t>2 Rue de la Mairie</t>
  </si>
  <si>
    <t>THOUARS</t>
  </si>
  <si>
    <t>MELON
LARGES</t>
  </si>
  <si>
    <t>Christophe
Christine</t>
  </si>
  <si>
    <t>Secrétaire
Élue CSE</t>
  </si>
  <si>
    <t>christine.larges@hotmail.com</t>
  </si>
  <si>
    <t>06 36 54 25 39</t>
  </si>
  <si>
    <t>05 49 68 18 12</t>
  </si>
  <si>
    <t>APSA</t>
  </si>
  <si>
    <t>APSA POITIERS CEDEX 86 CSE</t>
  </si>
  <si>
    <t>116 avenue de la Libération CS-30288</t>
  </si>
  <si>
    <t>POITIERS CEDEX</t>
  </si>
  <si>
    <t>TONNOIR
MORNAUD</t>
  </si>
  <si>
    <t>Catherine
Charlotte</t>
  </si>
  <si>
    <t>Élue CSE
Secrétaire</t>
  </si>
  <si>
    <t>elu.ctonnoir@A-P-S-A.ORG</t>
  </si>
  <si>
    <t>ARCO</t>
  </si>
  <si>
    <t>ARCO CHATELLERAULT 86 CSE</t>
  </si>
  <si>
    <t>11 Rue Auguste Sutter</t>
  </si>
  <si>
    <t>CHATELLERAULT</t>
  </si>
  <si>
    <t>TARTE</t>
  </si>
  <si>
    <t>Carole</t>
  </si>
  <si>
    <t xml:space="preserve">comite.entreprisearco@wanadoo.fr
didierlageon@yahoo.fr </t>
  </si>
  <si>
    <t>05 49 21 09 59</t>
  </si>
  <si>
    <t xml:space="preserve">Mail </t>
  </si>
  <si>
    <t>Didier LAGEON - Secrétaire CSE</t>
  </si>
  <si>
    <t xml:space="preserve">ARMATIS CHASSENEUIL </t>
  </si>
  <si>
    <t>ARMATIS  CHASSENEUIL DU POITOU 86 CSE</t>
  </si>
  <si>
    <t>6 Bd Nicéphore Niépce</t>
  </si>
  <si>
    <t>CHASSENEUIL DU POITOU</t>
  </si>
  <si>
    <t>MILLET</t>
  </si>
  <si>
    <t>Alexandre</t>
  </si>
  <si>
    <t xml:space="preserve">millet.alexandre@gmail.com </t>
  </si>
  <si>
    <t>06 89 30 33 30</t>
  </si>
  <si>
    <t>ASSOCIATION GYMNIQUE LOUDUNAISE</t>
  </si>
  <si>
    <t xml:space="preserve">À prospecter </t>
  </si>
  <si>
    <t>Opportunité commerciale</t>
  </si>
  <si>
    <t>ROCHERON</t>
  </si>
  <si>
    <t>Julie</t>
  </si>
  <si>
    <t>julie.rocheron08@gmail.com</t>
  </si>
  <si>
    <t>06 43 78 55 98</t>
  </si>
  <si>
    <t xml:space="preserve">LIKEFORMATION </t>
  </si>
  <si>
    <t>AGGLOBUS (STUB) BOURGES</t>
  </si>
  <si>
    <t>AGGLOBUS (STUB) BOURGES  18  SYNDICATS</t>
  </si>
  <si>
    <t>Syndicats</t>
  </si>
  <si>
    <t>Réseau CFDT</t>
  </si>
  <si>
    <t>FLOREK  Alexandre</t>
  </si>
  <si>
    <t>SALGUEIRO</t>
  </si>
  <si>
    <t>BOURGES</t>
  </si>
  <si>
    <t>CHASSIGNAT</t>
  </si>
  <si>
    <t>Ninotchka</t>
  </si>
  <si>
    <t>SYNDICAT (DS)</t>
  </si>
  <si>
    <t>gwadanin@gmail.com</t>
  </si>
  <si>
    <t>ARCHERS DES DUCS D'EPERNON</t>
  </si>
  <si>
    <t>ARCHERS DES DUCS D'EPERNON CADILLAC 33 ASS</t>
  </si>
  <si>
    <t>Associations</t>
  </si>
  <si>
    <t>Mairie</t>
  </si>
  <si>
    <t>CADILLAC</t>
  </si>
  <si>
    <t>VARONE</t>
  </si>
  <si>
    <t>Véronique</t>
  </si>
  <si>
    <t>v.varone@orange.fr</t>
  </si>
  <si>
    <t>06 07 57 02 68</t>
  </si>
  <si>
    <t>Cécile PAPIN - Trésorier</t>
  </si>
  <si>
    <t>0 (Part asso)</t>
  </si>
  <si>
    <t>95 €(Tarif adhérent)</t>
  </si>
  <si>
    <t>20 € (Aopia reverse)</t>
  </si>
  <si>
    <t>BADMINTON CLUB VOUNEUIL SUR VIENNE</t>
  </si>
  <si>
    <t>BADMINTON CLUB VOUNEUIL SUR VIENNE  86 ASS</t>
  </si>
  <si>
    <t>42 Place de la Libération</t>
  </si>
  <si>
    <t>VOUNEUIL SUR VIENNE</t>
  </si>
  <si>
    <t>PIERRE-PAUL</t>
  </si>
  <si>
    <t>Estelle</t>
  </si>
  <si>
    <t>jennifer@bcvv86.fr</t>
  </si>
  <si>
    <t>Jennifer PIERRE-PAUL - Présidente</t>
  </si>
  <si>
    <t>CCA INTERNATIONAL - COMDATA</t>
  </si>
  <si>
    <t>CCA INTERNATIONAL - COMDATA JAUNAY-MARIGNY 86 CSE</t>
  </si>
  <si>
    <t>250-499</t>
  </si>
  <si>
    <t>31 avenue de Bordeaux, Allée du Nord</t>
  </si>
  <si>
    <t>JAUNAY-MARIGNY</t>
  </si>
  <si>
    <t>GUILLOT</t>
  </si>
  <si>
    <t>Jérôme</t>
  </si>
  <si>
    <t>jerome.guillot@comdatagroup.com</t>
  </si>
  <si>
    <t>05 49 37 17 42 / 05 49 42 13 00</t>
  </si>
  <si>
    <t xml:space="preserve">CFDT (PSTE) </t>
  </si>
  <si>
    <t xml:space="preserve">CFDT (PSTE)  ANGOULEME 16 </t>
  </si>
  <si>
    <t>10 Rue Chicoutimi</t>
  </si>
  <si>
    <t>ANGOULEME</t>
  </si>
  <si>
    <t>EVRARD</t>
  </si>
  <si>
    <t>Aurélien</t>
  </si>
  <si>
    <t>Trésorier</t>
  </si>
  <si>
    <t>kroymot@hotmail.com
aurelien.evrard@pste.cfdt.fr</t>
  </si>
  <si>
    <t>07 67 35 58 85</t>
  </si>
  <si>
    <t>CFTC STRC (  TRANSPORT RÉGION CENTRE)</t>
  </si>
  <si>
    <t>CFTC STRC (  TRANSPORT RÉGION CENTRE) ST AVERTIN 37</t>
  </si>
  <si>
    <t>18 Rue de l'Oiselet</t>
  </si>
  <si>
    <t>ST AVERTIN</t>
  </si>
  <si>
    <t>TOURTEAU
DESHAYS</t>
  </si>
  <si>
    <t>Alain
Jennifer</t>
  </si>
  <si>
    <t>Secrétaire
Assistante administrative</t>
  </si>
  <si>
    <t>tourteau.alain@gmail.com
tourteau.alain@orange.fr
ud37@cftc.fr</t>
  </si>
  <si>
    <t>06 05 07 36 30</t>
  </si>
  <si>
    <t>CNPE (CENTRALE CIVAUX)</t>
  </si>
  <si>
    <t>CNPE (CENTRALE CIVAUX)  86 CSE</t>
  </si>
  <si>
    <t/>
  </si>
  <si>
    <t xml:space="preserve">EXTRÊME TENNIS/SARL TENNIS PB </t>
  </si>
  <si>
    <t>EXTRÊME TENNIS/SARL TENNIS PB SAILLY LABOURSE 62 ENTREPRISE</t>
  </si>
  <si>
    <t>Signée sans convention</t>
  </si>
  <si>
    <t>172 Ter Route Nationale</t>
  </si>
  <si>
    <t>SAILLY LABOURSE</t>
  </si>
  <si>
    <t>BARBE</t>
  </si>
  <si>
    <t>Pauline</t>
  </si>
  <si>
    <t>?</t>
  </si>
  <si>
    <t>sailly@extreme-tennis.fr</t>
  </si>
  <si>
    <t>06 26 52 73 14</t>
  </si>
  <si>
    <t>Récompense de 50€ par vente pour la société : 
25€ AOPIA + 25€ Emeline ZAMAN</t>
  </si>
  <si>
    <t>LFS</t>
  </si>
  <si>
    <t>AIRNOV</t>
  </si>
  <si>
    <t>AIRNOV ROMORANTIN-LANTHENAY 41 CSE</t>
  </si>
  <si>
    <t>EBS41</t>
  </si>
  <si>
    <t>PIP</t>
  </si>
  <si>
    <t>1 Rue René Bonnet</t>
  </si>
  <si>
    <t>ROMORANTIN-LANTHENAY</t>
  </si>
  <si>
    <t>APF ENTREPRISES FRANCE HANDICAP</t>
  </si>
  <si>
    <t>APF ENTREPRISES FRANCE HANDICAP TOURS 37</t>
  </si>
  <si>
    <t>ADV</t>
  </si>
  <si>
    <t>TOURS</t>
  </si>
  <si>
    <t>ARTEMIDE</t>
  </si>
  <si>
    <t>ARTEMIDE SAINT-FLORENT-SUR-CHER 18 CSE</t>
  </si>
  <si>
    <t>Rue René Fontaine</t>
  </si>
  <si>
    <t>SAINT-FLORENT-SUR-CHER</t>
  </si>
  <si>
    <t>ASSAD LE PORTEL</t>
  </si>
  <si>
    <t>ASSAD LE PORTEL 62 ASSOCIATION</t>
  </si>
  <si>
    <t>Démarchage</t>
  </si>
  <si>
    <t xml:space="preserve">ITS62 </t>
  </si>
  <si>
    <t>26 Avenue du 8 Septembre</t>
  </si>
  <si>
    <t>LE PORTEL</t>
  </si>
  <si>
    <t>EUCHIN</t>
  </si>
  <si>
    <t>Béatrice</t>
  </si>
  <si>
    <t>Directrice</t>
  </si>
  <si>
    <t>asad.leportel@wanadoo.fr</t>
  </si>
  <si>
    <t>03 21 10 04 73</t>
  </si>
  <si>
    <t>ASSOCIATION ESI 14</t>
  </si>
  <si>
    <t>ASSOCIATION ESI 14 LISIEUX</t>
  </si>
  <si>
    <t xml:space="preserve"> LEX014 </t>
  </si>
  <si>
    <t>4 Rue des Petits Jardins</t>
  </si>
  <si>
    <t>LISIEUX</t>
  </si>
  <si>
    <t>ANDRE</t>
  </si>
  <si>
    <t>Karine</t>
  </si>
  <si>
    <t>Déléguée CSE et Gestionnaire</t>
  </si>
  <si>
    <t>karine.andre@esi14.fr</t>
  </si>
  <si>
    <t xml:space="preserve"> 06 58 69 41 65
02 31 31 44 58</t>
  </si>
  <si>
    <t xml:space="preserve">ASSOCIATION G.E.P.S </t>
  </si>
  <si>
    <t xml:space="preserve">ASSOCIATION G.E.P.S ROMORANTIN  41 </t>
  </si>
  <si>
    <t xml:space="preserve">EBS41 </t>
  </si>
  <si>
    <t>ROMORANTIN</t>
  </si>
  <si>
    <t>LESSIEUX
MAS</t>
  </si>
  <si>
    <t>Charline
Laurent</t>
  </si>
  <si>
    <t>Présidente
Trésorier</t>
  </si>
  <si>
    <t>gepsologne41@gmail.com
contact@buroengros.fr
ilmas@wanadoo.fr</t>
  </si>
  <si>
    <t>06 37 60 83 25
06 18 40 11 77</t>
  </si>
  <si>
    <t>ASSOCIATION VIEILLIR CHEZ SOI</t>
  </si>
  <si>
    <t xml:space="preserve">ASSOCIATION VIEILLIR CHEZ SOI GONDECOURT 59 </t>
  </si>
  <si>
    <t>16 Rue Désiré Ringot</t>
  </si>
  <si>
    <t>GONDECOURT</t>
  </si>
  <si>
    <t>ATOS</t>
  </si>
  <si>
    <t>ATOS GLOS 14 CSE</t>
  </si>
  <si>
    <t>Boutique LEX14</t>
  </si>
  <si>
    <t>GLOS</t>
  </si>
  <si>
    <t>AUBERGE DE L'ABAYE 14</t>
  </si>
  <si>
    <t>BEAUMONT-EN-AUGE</t>
  </si>
  <si>
    <t>LEGENDRE</t>
  </si>
  <si>
    <t>Arnaud</t>
  </si>
  <si>
    <t xml:space="preserve"> aglegendre@gmail.com</t>
  </si>
  <si>
    <t xml:space="preserve"> 06 63 35 81 76</t>
  </si>
  <si>
    <t>EUROTUNNEL</t>
  </si>
  <si>
    <t>EUROTUNNEL COQUELLES 62 CSE</t>
  </si>
  <si>
    <t>signé nouveau process</t>
  </si>
  <si>
    <t>DELABI Cédric</t>
  </si>
  <si>
    <t>BP  69</t>
  </si>
  <si>
    <t>COQUELLES CEDEX</t>
  </si>
  <si>
    <t>CAROU
RINGOT</t>
  </si>
  <si>
    <t>Jerôme
Sébastien</t>
  </si>
  <si>
    <t>Secrétaire
Trésorier</t>
  </si>
  <si>
    <t>comite-social-economique@eurotunnel.com</t>
  </si>
  <si>
    <t>03 21 00 42 64</t>
  </si>
  <si>
    <t>LEROY MERLIN BOULOGNE</t>
  </si>
  <si>
    <t>LEROY MERLIN BOULOGNE 62 CSE</t>
  </si>
  <si>
    <t>Centre Commerciale Auchan côte d'opale, Route de saint Omer N42</t>
  </si>
  <si>
    <t>SAINT MARTIN BOULOGNE</t>
  </si>
  <si>
    <t>EVRARD
ARNOULT</t>
  </si>
  <si>
    <t>David
Aurélie</t>
  </si>
  <si>
    <t>davidevrard@leroymerlin.fr
aureliearnault@leroymerlin.fr
cse.boulogne@leroymerlin.fr</t>
  </si>
  <si>
    <t>06 75 38 73 99
06 49 60 48 80</t>
  </si>
  <si>
    <t>LEROY MERLIN CALAIS</t>
  </si>
  <si>
    <t>LEROY MERLIN CALAIS 62 CSE</t>
  </si>
  <si>
    <t>CC Auchan</t>
  </si>
  <si>
    <t>CALAIS</t>
  </si>
  <si>
    <t>DROSSARD
WEST</t>
  </si>
  <si>
    <t>Didier
Virginie</t>
  </si>
  <si>
    <t>Secrétaire
Trésorière et signataire</t>
  </si>
  <si>
    <t>didier.drossard@leroymerlin.fr
virginie.west@leroymerlin.fr</t>
  </si>
  <si>
    <t>06 26 46 11 35 (Wet)</t>
  </si>
  <si>
    <t>Ne pas toucher à l'enseigne Leroy Merlin</t>
  </si>
  <si>
    <t>LEROY MERLIN GRANDE-SYNTHE</t>
  </si>
  <si>
    <t>LEROY MERLIN GRANDE-SYNTHE 59 CSE</t>
  </si>
  <si>
    <t>RN1 Centre Commercial Auchan</t>
  </si>
  <si>
    <t>GRANDE-SYNTHE</t>
  </si>
  <si>
    <t>ROUSSEL
BOUCAU</t>
  </si>
  <si>
    <t>Christophe
Karine</t>
  </si>
  <si>
    <t>Secrétaire
Trésorière</t>
  </si>
  <si>
    <t>stephanie.denys2@leroymerlin.fr
christophe.roussel@leroymerlin.fr
karine.boucau@leroymerlin.fr</t>
  </si>
  <si>
    <t xml:space="preserve">
06 73 16 67 92
06  70 97 73 36
</t>
  </si>
  <si>
    <t>Date signature</t>
  </si>
  <si>
    <t>Nom du conseiller</t>
  </si>
  <si>
    <t>Prénom du conseiller</t>
  </si>
  <si>
    <t>Dernière vente</t>
  </si>
  <si>
    <t>Dernière permanence</t>
  </si>
  <si>
    <t>PRC 2026</t>
  </si>
  <si>
    <t>JACQUART</t>
  </si>
  <si>
    <t>Marie-Hélène</t>
  </si>
  <si>
    <t>GAUVILLE</t>
  </si>
  <si>
    <t>Ghislaine</t>
  </si>
  <si>
    <t>8 à  10</t>
  </si>
  <si>
    <t>5-7 ETIQUETTE</t>
  </si>
  <si>
    <t>5-7 ETIQUETTE COURTHEZON 84 CSE</t>
  </si>
  <si>
    <t>BRETON</t>
  </si>
  <si>
    <t>Martin</t>
  </si>
  <si>
    <t>COURTHEZON</t>
  </si>
  <si>
    <t>GRUAUD</t>
  </si>
  <si>
    <t>Sandrine</t>
  </si>
  <si>
    <t>ABCM</t>
  </si>
  <si>
    <t>ABCM COËX 85 CSE</t>
  </si>
  <si>
    <t>HÉRAULT</t>
  </si>
  <si>
    <t>Route de la Roche Pôle  Odyssée</t>
  </si>
  <si>
    <t>COËX</t>
  </si>
  <si>
    <t>BORDERON
BOURY</t>
  </si>
  <si>
    <t>Loïc
Mickaël</t>
  </si>
  <si>
    <t>ce.abcm@orange.fr</t>
  </si>
  <si>
    <t xml:space="preserve">02 51 54 12 34
</t>
  </si>
  <si>
    <t>ACREOS</t>
  </si>
  <si>
    <t>ACREOS METZ 57 CSE</t>
  </si>
  <si>
    <t xml:space="preserve"> 50 à 99</t>
  </si>
  <si>
    <t>Salon Metz 2025</t>
  </si>
  <si>
    <t>1a rue Claude Chappe</t>
  </si>
  <si>
    <t>METZ</t>
  </si>
  <si>
    <t>GULIZIA
BABEL</t>
  </si>
  <si>
    <t>Joanna
Théo</t>
  </si>
  <si>
    <t>ELU CSE
SECRETAIRE</t>
  </si>
  <si>
    <t>j.gulizia@acreos.eu
t.babel@acreos.eu</t>
  </si>
  <si>
    <t>03 72 48 00 05
03 87 51 62 62</t>
  </si>
  <si>
    <t>ACS GROUPE</t>
  </si>
  <si>
    <t>ACS GROUPE 79 CSE</t>
  </si>
  <si>
    <t>ADAPEI 65</t>
  </si>
  <si>
    <t>ADAPEI AZREIX 65 CSE</t>
  </si>
  <si>
    <t>50 Rue des Pyrénées</t>
  </si>
  <si>
    <t>AZREIX</t>
  </si>
  <si>
    <t>ADAPEI 72</t>
  </si>
  <si>
    <t>ADAPEI LE MANS 72 CSE</t>
  </si>
  <si>
    <t>19 Rue de la Calandre</t>
  </si>
  <si>
    <t>LE MANS</t>
  </si>
  <si>
    <t>ADC GROUPE FAYAT</t>
  </si>
  <si>
    <t>ADC GROUPE FAYAT PARTHENAY 79 CSE</t>
  </si>
  <si>
    <t>THIBAUD</t>
  </si>
  <si>
    <t xml:space="preserve">Francis </t>
  </si>
  <si>
    <t>Salarié</t>
  </si>
  <si>
    <t>Rue Marcel Beau</t>
  </si>
  <si>
    <t>PARTHENAY</t>
  </si>
  <si>
    <t>DUBUIS</t>
  </si>
  <si>
    <t>Delphine</t>
  </si>
  <si>
    <t>Trésorière</t>
  </si>
  <si>
    <t>ce@adc.fayat.com</t>
  </si>
  <si>
    <t>05.49.64.87.09</t>
  </si>
  <si>
    <t>ADDUXI</t>
  </si>
  <si>
    <t>ADDUXI BELLIGNAT 1 CSE</t>
  </si>
  <si>
    <t>BELLIGNAT</t>
  </si>
  <si>
    <t>ADEFRESIDENCES</t>
  </si>
  <si>
    <t>ADEFRESIDENCES IVRY SUR SEINE 94 CSE</t>
  </si>
  <si>
    <t xml:space="preserve"> 500 à 999</t>
  </si>
  <si>
    <t>19 21 rue Baudin</t>
  </si>
  <si>
    <t>IVRY SUR SEINE</t>
  </si>
  <si>
    <t>PINTUS</t>
  </si>
  <si>
    <t>Sandrina</t>
  </si>
  <si>
    <t>ELU CSE</t>
  </si>
  <si>
    <t>bortoletsandrine@gmail.com</t>
  </si>
  <si>
    <t>06 25 40 74 97</t>
  </si>
  <si>
    <t>01 46 70 16 02 (Société téléphone)</t>
  </si>
  <si>
    <t>ADEI 17</t>
  </si>
  <si>
    <t>ADEI AYTRÉ 17 CSE</t>
  </si>
  <si>
    <t>BLIN</t>
  </si>
  <si>
    <t>Mélinda</t>
  </si>
  <si>
    <t>8 Boulevard Commandant Charcot</t>
  </si>
  <si>
    <t>AYTRÉ</t>
  </si>
  <si>
    <t>GUERINET</t>
  </si>
  <si>
    <t>ce.adei@orange.fr
caroleguerinet@hotmail.fr</t>
  </si>
  <si>
    <t xml:space="preserve">06 63 27 41 79 </t>
  </si>
  <si>
    <t>ADHAP</t>
  </si>
  <si>
    <t>ADHAP 18 CSE</t>
  </si>
  <si>
    <t>ADMR</t>
  </si>
  <si>
    <t>ADMR 16 CSE</t>
  </si>
  <si>
    <t>ADMR 65</t>
  </si>
  <si>
    <t>ADMR 65 CSE</t>
  </si>
  <si>
    <t>ADOM SERVICES</t>
  </si>
  <si>
    <t>ADOM SERVICES 62 CSE</t>
  </si>
  <si>
    <t>AEA ACCUEIL EDUCATIF EN AUXERROIS FONDATION LA VIE AU GRAND AIR</t>
  </si>
  <si>
    <t>AEA ACCUEIL EDUCATIF EN AUXERROIS FONDATION LA VIE AU GRAND AIR AUXERRE 89 CSE</t>
  </si>
  <si>
    <t>14 Avenue Foch</t>
  </si>
  <si>
    <t>AUXERRE</t>
  </si>
  <si>
    <t>AEROPORT</t>
  </si>
  <si>
    <t>AEROPORT GOIN 57 CSE</t>
  </si>
  <si>
    <t xml:space="preserve"> 20 à 49</t>
  </si>
  <si>
    <t>Route de Vigny</t>
  </si>
  <si>
    <t>GOIN</t>
  </si>
  <si>
    <t>BIACHE</t>
  </si>
  <si>
    <t>Sandra</t>
  </si>
  <si>
    <t>SECRETAIRE</t>
  </si>
  <si>
    <t>ce@lorraineaeroport.com</t>
  </si>
  <si>
    <t>06 08 77 08 72</t>
  </si>
  <si>
    <t>06 60 78 47 01</t>
  </si>
  <si>
    <t>AFAL - LES FLUXS (Association des Frontaliers du Luxembourg)</t>
  </si>
  <si>
    <t>AFAL - LES FLUXS THIONVILLE 57 ASS</t>
  </si>
  <si>
    <t>AssociationsClubs</t>
  </si>
  <si>
    <t>24 Rue de l'Ancien Hopital</t>
  </si>
  <si>
    <t>THIONVILLE</t>
  </si>
  <si>
    <t>PEUVREL
PEUVREL</t>
  </si>
  <si>
    <t>Solange
Pascal</t>
  </si>
  <si>
    <t>Secrétaire
Président</t>
  </si>
  <si>
    <t>solange.peuvrel@lesfluxs.eu
pascal.peuvrel@lesfluxs.eu</t>
  </si>
  <si>
    <t>03 82 53 71 12</t>
  </si>
  <si>
    <t>AFFLELOU</t>
  </si>
  <si>
    <t>AFFLELOU 18 CSE</t>
  </si>
  <si>
    <t>AFTRAL OUEST</t>
  </si>
  <si>
    <t>AFTRAL OUEST POITIERS 86 CSE</t>
  </si>
  <si>
    <t>Grand Ouest</t>
  </si>
  <si>
    <t xml:space="preserve">94 rue du Porteau
</t>
  </si>
  <si>
    <t>POITIERS</t>
  </si>
  <si>
    <t>MARCHAUD
MARCO</t>
  </si>
  <si>
    <t>Christophe
Marie-Cécile</t>
  </si>
  <si>
    <t>Trésorier
Directrice centre Tarbes</t>
  </si>
  <si>
    <r>
      <rPr>
        <u/>
        <sz val="12"/>
        <color rgb="FF0563C1"/>
        <rFont val="Calibri"/>
      </rPr>
      <t xml:space="preserve">tresorier-cse.ouest@aftral.com
</t>
    </r>
    <r>
      <rPr>
        <u/>
        <sz val="12"/>
        <color rgb="FF0563C1"/>
        <rFont val="Calibri"/>
      </rPr>
      <t>secretaire.cseouest@aftral.com
marie-cecile.marco@aftral.com</t>
    </r>
  </si>
  <si>
    <t>06 58 07 77 00
06 84 37 47 13</t>
  </si>
  <si>
    <t>Autres pôles : AFTRAL I2N ; AFTRAL Est ; AFTRAL Aura ; AFTRAL Sud</t>
  </si>
  <si>
    <t>AFTRAL OUEST TARBES 65 CSE</t>
  </si>
  <si>
    <t xml:space="preserve">
Zone Kennedy</t>
  </si>
  <si>
    <t xml:space="preserve">
TARBES</t>
  </si>
  <si>
    <t>AGCO</t>
  </si>
  <si>
    <t>AGCO ENNERY 57 CSE</t>
  </si>
  <si>
    <t xml:space="preserve"> 300 à 499</t>
  </si>
  <si>
    <t>RUE ANDRE CITROEN</t>
  </si>
  <si>
    <t>ENNERY</t>
  </si>
  <si>
    <t>PETROVIC</t>
  </si>
  <si>
    <t>Angelique</t>
  </si>
  <si>
    <t>SECRETAIRE ADJOINT</t>
  </si>
  <si>
    <t>ennery.cse@agcocorp.com</t>
  </si>
  <si>
    <t>06 21 50 74 04</t>
  </si>
  <si>
    <t>03 87 70 44 60</t>
  </si>
  <si>
    <t>SALGUIERO</t>
  </si>
  <si>
    <t>Elisabeth</t>
  </si>
  <si>
    <t>AGRATI</t>
  </si>
  <si>
    <t>AGRATI VIEUX CONDÉ 59 CSE</t>
  </si>
  <si>
    <t>Parrainage</t>
  </si>
  <si>
    <t>Alison HAUDRECHY</t>
  </si>
  <si>
    <t>HUBERT</t>
  </si>
  <si>
    <t xml:space="preserve">Philippe </t>
  </si>
  <si>
    <t>24 Rue Dervaux</t>
  </si>
  <si>
    <t>VIEUX CONDÉ</t>
  </si>
  <si>
    <t>MARTELLA</t>
  </si>
  <si>
    <t>Nicolas</t>
  </si>
  <si>
    <t>nicolas.martella@agrati.com
ceagrativieuxconde@hotmail.fr</t>
  </si>
  <si>
    <t>03 27 19 15 80</t>
  </si>
  <si>
    <t>OUI : Alison HAUDRECHY</t>
  </si>
  <si>
    <t>AIMA GROUPE</t>
  </si>
  <si>
    <t>AIMA GROUPE CHALLANS 85/49 CSE</t>
  </si>
  <si>
    <t>BIRÉ</t>
  </si>
  <si>
    <t>Aurélie</t>
  </si>
  <si>
    <t>Salariée
Like Formation</t>
  </si>
  <si>
    <t>85/49</t>
  </si>
  <si>
    <t>80 Rue Gustave Eiffel - ZA de la Bloire</t>
  </si>
  <si>
    <t>CHALLANS</t>
  </si>
  <si>
    <t>TOUZEAU
FRADET</t>
  </si>
  <si>
    <t>Yannick
Emmanuelle</t>
  </si>
  <si>
    <t>cse@aima-groupe.fr</t>
  </si>
  <si>
    <t>02 51 93 40 41</t>
  </si>
  <si>
    <t>Site sur 44 et 49 également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</si>
</sst>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#,##0\ [$€-1]"/>
    <numFmt numFmtId="165" formatCode="dd&quot;/&quot;mm&quot;/&quot;yy"/>
    <numFmt numFmtId="166" formatCode="#,##0\ &quot;€&quot;"/>
    <numFmt numFmtId="167" formatCode="dd/mm/yy"/>
    <numFmt numFmtId="168" formatCode="m/d/yyyy"/>
  </numFmts>
  <fonts count="25" x14ac:knownFonts="1">
    <font>
      <sz val="11"/>
      <color theme="1"/>
      <name val="Calibri"/>
      <family val="2"/>
      <scheme val="minor"/>
    </font>
    <font>
      <b/>
      <u/>
      <sz val="12"/>
      <color theme="1"/>
      <name val="Calibri"/>
    </font>
    <font>
      <b/>
      <sz val="11"/>
      <color rgb="FF000000"/>
      <name val="Calibri"/>
    </font>
    <font>
      <b/>
      <u/>
      <sz val="12"/>
      <color rgb="FF000000"/>
      <name val="Calibri"/>
    </font>
    <font>
      <u/>
      <sz val="12"/>
      <color theme="1"/>
      <name val="Calibri"/>
    </font>
    <font>
      <b/>
      <sz val="12"/>
      <color rgb="FF222222"/>
      <name val="Calibri"/>
    </font>
    <font>
      <b/>
      <sz val="12"/>
      <color theme="1"/>
      <name val="Calibri"/>
    </font>
    <font>
      <sz val="12"/>
      <color theme="1"/>
      <name val="Calibri"/>
    </font>
    <font>
      <b/>
      <sz val="12"/>
      <color rgb="FF0000FF"/>
      <name val="Calibri"/>
    </font>
    <font>
      <sz val="12"/>
      <color rgb="FF000000"/>
      <name val="Calibri"/>
    </font>
    <font>
      <sz val="10"/>
      <color theme="1"/>
      <name val="Calibri"/>
      <scheme val="minor"/>
    </font>
    <font>
      <sz val="10"/>
      <color theme="1"/>
      <name val="Arial"/>
    </font>
    <font>
      <u/>
      <sz val="12"/>
      <color rgb="FF000000"/>
      <name val="Calibri"/>
    </font>
    <font>
      <sz val="10"/>
      <color rgb="FF000000"/>
      <name val="Calibri"/>
      <scheme val="minor"/>
    </font>
    <font>
      <b/>
      <sz val="11"/>
      <color theme="1"/>
      <name val="Calibri"/>
    </font>
    <font>
      <b/>
      <sz val="11"/>
      <color rgb="FF0000FF"/>
      <name val="Calibri"/>
    </font>
    <font>
      <u/>
      <sz val="12"/>
      <color rgb="FF0000FF"/>
      <name val="Calibri"/>
    </font>
    <font>
      <b/>
      <u/>
      <sz val="13"/>
      <color theme="1"/>
      <name val="Calibri"/>
    </font>
    <font>
      <b/>
      <u/>
      <sz val="12"/>
      <color rgb="FF0000FF"/>
      <name val="Calibri"/>
    </font>
    <font>
      <sz val="11"/>
      <color theme="1"/>
      <name val="Calibri"/>
    </font>
    <font>
      <b/>
      <sz val="12"/>
      <color rgb="FF000000"/>
      <name val="Calibri"/>
    </font>
    <font>
      <b/>
      <sz val="13"/>
      <color theme="1"/>
      <name val="Calibri"/>
    </font>
    <font>
      <sz val="12"/>
      <color rgb="FF0563C1"/>
      <name val="Calibri"/>
    </font>
    <font>
      <u/>
      <sz val="12"/>
      <color rgb="FF0563C1"/>
      <name val="Calibri"/>
    </font>
    <font>
      <sz val="12"/>
      <color rgb="FFFFFFFF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FCE5CD"/>
        <bgColor rgb="FFFCE5CD"/>
      </patternFill>
    </fill>
    <fill>
      <patternFill patternType="solid">
        <fgColor rgb="FF9FC5E8"/>
        <bgColor rgb="FF9FC5E8"/>
      </patternFill>
    </fill>
    <fill>
      <patternFill patternType="solid">
        <fgColor rgb="FFD9EAD3"/>
        <bgColor rgb="FFD9EAD3"/>
      </patternFill>
    </fill>
    <fill>
      <patternFill patternType="solid">
        <fgColor rgb="FFE6B8AF"/>
        <bgColor rgb="FFE6B8AF"/>
      </patternFill>
    </fill>
    <fill>
      <patternFill patternType="solid">
        <fgColor rgb="FF6FA8DC"/>
        <bgColor rgb="FF6FA8DC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ECECEC"/>
        <bgColor rgb="FFECECEC"/>
      </patternFill>
    </fill>
    <fill>
      <patternFill patternType="solid">
        <fgColor theme="0"/>
        <bgColor theme="0"/>
      </patternFill>
    </fill>
    <fill>
      <patternFill patternType="solid">
        <fgColor rgb="FFB6D7A8"/>
        <bgColor rgb="FFB6D7A8"/>
      </patternFill>
    </fill>
    <fill>
      <patternFill patternType="solid">
        <fgColor rgb="FFD9E2F3"/>
        <bgColor rgb="FFD9E2F3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1">
    <xf numFmtId="0" fontId="0" fillId="0" borderId="0" xfId="0"/>
    <xf numFmtId="1" fontId="1" fillId="2" borderId="1" xfId="0" applyNumberFormat="1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center" vertical="center" wrapText="1"/>
    </xf>
    <xf numFmtId="14" fontId="2" fillId="3" borderId="1" xfId="0" applyNumberFormat="1" applyFont="1" applyFill="1" applyBorder="1" applyAlignment="1">
      <alignment horizontal="center" vertical="center" wrapText="1"/>
    </xf>
    <xf numFmtId="1" fontId="3" fillId="2" borderId="1" xfId="0" applyNumberFormat="1" applyFont="1" applyFill="1" applyBorder="1" applyAlignment="1">
      <alignment horizontal="center" vertical="center" wrapText="1"/>
    </xf>
    <xf numFmtId="1" fontId="4" fillId="2" borderId="1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 wrapText="1"/>
    </xf>
    <xf numFmtId="164" fontId="1" fillId="5" borderId="1" xfId="0" applyNumberFormat="1" applyFont="1" applyFill="1" applyBorder="1" applyAlignment="1">
      <alignment horizontal="center" vertical="center" wrapText="1"/>
    </xf>
    <xf numFmtId="1" fontId="1" fillId="5" borderId="1" xfId="0" applyNumberFormat="1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1" fontId="1" fillId="5" borderId="0" xfId="0" applyNumberFormat="1" applyFont="1" applyFill="1" applyAlignment="1">
      <alignment horizontal="center" vertical="center" wrapText="1"/>
    </xf>
    <xf numFmtId="1" fontId="6" fillId="0" borderId="1" xfId="0" applyNumberFormat="1" applyFont="1" applyBorder="1" applyAlignment="1">
      <alignment horizontal="center" vertical="center"/>
    </xf>
    <xf numFmtId="1" fontId="6" fillId="7" borderId="1" xfId="0" applyNumberFormat="1" applyFont="1" applyFill="1" applyBorder="1" applyAlignment="1">
      <alignment horizontal="left" vertical="center" wrapText="1"/>
    </xf>
    <xf numFmtId="1" fontId="7" fillId="7" borderId="1" xfId="0" applyNumberFormat="1" applyFont="1" applyFill="1" applyBorder="1" applyAlignment="1">
      <alignment horizontal="center" vertical="center"/>
    </xf>
    <xf numFmtId="1" fontId="7" fillId="7" borderId="1" xfId="0" applyNumberFormat="1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/>
    </xf>
    <xf numFmtId="14" fontId="7" fillId="7" borderId="1" xfId="0" applyNumberFormat="1" applyFont="1" applyFill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14" fontId="8" fillId="0" borderId="1" xfId="0" applyNumberFormat="1" applyFont="1" applyBorder="1" applyAlignment="1">
      <alignment horizontal="center" vertical="center"/>
    </xf>
    <xf numFmtId="1" fontId="8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/>
    </xf>
    <xf numFmtId="1" fontId="9" fillId="7" borderId="1" xfId="0" applyNumberFormat="1" applyFont="1" applyFill="1" applyBorder="1" applyAlignment="1">
      <alignment horizontal="center" vertical="center"/>
    </xf>
    <xf numFmtId="1" fontId="4" fillId="7" borderId="1" xfId="0" applyNumberFormat="1" applyFont="1" applyFill="1" applyBorder="1" applyAlignment="1">
      <alignment horizontal="center" vertical="center" wrapText="1"/>
    </xf>
    <xf numFmtId="0" fontId="10" fillId="0" borderId="1" xfId="0" applyFont="1" applyBorder="1" applyAlignment="1">
      <alignment vertical="center"/>
    </xf>
    <xf numFmtId="164" fontId="7" fillId="7" borderId="1" xfId="0" applyNumberFormat="1" applyFont="1" applyFill="1" applyBorder="1" applyAlignment="1">
      <alignment horizontal="center" vertical="center"/>
    </xf>
    <xf numFmtId="1" fontId="7" fillId="7" borderId="0" xfId="0" applyNumberFormat="1" applyFont="1" applyFill="1" applyAlignment="1">
      <alignment horizontal="center" vertical="center"/>
    </xf>
    <xf numFmtId="165" fontId="7" fillId="7" borderId="1" xfId="0" applyNumberFormat="1" applyFont="1" applyFill="1" applyBorder="1" applyAlignment="1">
      <alignment horizontal="center" vertical="center"/>
    </xf>
    <xf numFmtId="14" fontId="10" fillId="0" borderId="1" xfId="0" applyNumberFormat="1" applyFont="1" applyBorder="1" applyAlignment="1">
      <alignment vertical="center"/>
    </xf>
    <xf numFmtId="1" fontId="11" fillId="7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 wrapText="1"/>
    </xf>
    <xf numFmtId="1" fontId="12" fillId="7" borderId="1" xfId="0" applyNumberFormat="1" applyFont="1" applyFill="1" applyBorder="1" applyAlignment="1">
      <alignment horizontal="center" vertical="center" wrapText="1"/>
    </xf>
    <xf numFmtId="164" fontId="7" fillId="0" borderId="1" xfId="0" applyNumberFormat="1" applyFont="1" applyBorder="1" applyAlignment="1">
      <alignment horizontal="center" vertical="center"/>
    </xf>
    <xf numFmtId="1" fontId="7" fillId="0" borderId="0" xfId="0" applyNumberFormat="1" applyFont="1" applyAlignment="1">
      <alignment horizontal="center" vertical="center"/>
    </xf>
    <xf numFmtId="165" fontId="7" fillId="0" borderId="1" xfId="0" applyNumberFormat="1" applyFont="1" applyBorder="1" applyAlignment="1">
      <alignment horizontal="center" vertical="center"/>
    </xf>
    <xf numFmtId="1" fontId="14" fillId="0" borderId="1" xfId="0" applyNumberFormat="1" applyFont="1" applyBorder="1" applyAlignment="1">
      <alignment horizontal="center" vertical="center"/>
    </xf>
    <xf numFmtId="14" fontId="14" fillId="7" borderId="1" xfId="0" applyNumberFormat="1" applyFont="1" applyFill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/>
    </xf>
    <xf numFmtId="14" fontId="15" fillId="7" borderId="1" xfId="0" applyNumberFormat="1" applyFont="1" applyFill="1" applyBorder="1" applyAlignment="1">
      <alignment horizontal="center" vertical="center"/>
    </xf>
    <xf numFmtId="1" fontId="15" fillId="7" borderId="1" xfId="0" applyNumberFormat="1" applyFont="1" applyFill="1" applyBorder="1" applyAlignment="1">
      <alignment horizontal="center" vertical="center"/>
    </xf>
    <xf numFmtId="1" fontId="6" fillId="7" borderId="1" xfId="0" applyNumberFormat="1" applyFont="1" applyFill="1" applyBorder="1" applyAlignment="1">
      <alignment horizontal="center" vertical="center"/>
    </xf>
    <xf numFmtId="1" fontId="8" fillId="7" borderId="1" xfId="0" applyNumberFormat="1" applyFont="1" applyFill="1" applyBorder="1" applyAlignment="1">
      <alignment horizontal="center" vertical="center"/>
    </xf>
    <xf numFmtId="1" fontId="1" fillId="2" borderId="2" xfId="0" applyNumberFormat="1" applyFont="1" applyFill="1" applyBorder="1" applyAlignment="1">
      <alignment horizontal="center" vertical="center" wrapText="1"/>
    </xf>
    <xf numFmtId="1" fontId="1" fillId="2" borderId="2" xfId="0" applyNumberFormat="1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1" fontId="3" fillId="2" borderId="2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1" fillId="4" borderId="2" xfId="0" applyNumberFormat="1" applyFont="1" applyFill="1" applyBorder="1" applyAlignment="1">
      <alignment horizontal="center" vertical="center" wrapText="1"/>
    </xf>
    <xf numFmtId="164" fontId="1" fillId="5" borderId="2" xfId="0" applyNumberFormat="1" applyFont="1" applyFill="1" applyBorder="1" applyAlignment="1">
      <alignment horizontal="center" vertical="center" wrapText="1"/>
    </xf>
    <xf numFmtId="1" fontId="1" fillId="5" borderId="2" xfId="0" applyNumberFormat="1" applyFont="1" applyFill="1" applyBorder="1" applyAlignment="1">
      <alignment horizontal="center" vertical="center" wrapText="1"/>
    </xf>
    <xf numFmtId="1" fontId="16" fillId="7" borderId="1" xfId="0" applyNumberFormat="1" applyFont="1" applyFill="1" applyBorder="1" applyAlignment="1">
      <alignment horizontal="center" vertical="center" wrapText="1"/>
    </xf>
    <xf numFmtId="166" fontId="7" fillId="0" borderId="1" xfId="0" applyNumberFormat="1" applyFont="1" applyBorder="1" applyAlignment="1">
      <alignment horizontal="center" vertical="center"/>
    </xf>
    <xf numFmtId="164" fontId="7" fillId="8" borderId="1" xfId="0" applyNumberFormat="1" applyFont="1" applyFill="1" applyBorder="1" applyAlignment="1">
      <alignment horizontal="center" vertical="center"/>
    </xf>
    <xf numFmtId="1" fontId="7" fillId="8" borderId="1" xfId="0" applyNumberFormat="1" applyFont="1" applyFill="1" applyBorder="1" applyAlignment="1">
      <alignment horizontal="center" vertical="center"/>
    </xf>
    <xf numFmtId="1" fontId="7" fillId="8" borderId="0" xfId="0" applyNumberFormat="1" applyFont="1" applyFill="1" applyAlignment="1">
      <alignment horizontal="center" vertical="center"/>
    </xf>
    <xf numFmtId="1" fontId="9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 wrapText="1"/>
    </xf>
    <xf numFmtId="1" fontId="9" fillId="7" borderId="1" xfId="0" applyNumberFormat="1" applyFont="1" applyFill="1" applyBorder="1" applyAlignment="1">
      <alignment horizontal="center" vertical="center" wrapText="1"/>
    </xf>
    <xf numFmtId="14" fontId="7" fillId="0" borderId="1" xfId="0" applyNumberFormat="1" applyFont="1" applyBorder="1" applyAlignment="1">
      <alignment horizontal="center" vertical="center" wrapText="1"/>
    </xf>
    <xf numFmtId="164" fontId="7" fillId="0" borderId="1" xfId="0" applyNumberFormat="1" applyFont="1" applyBorder="1" applyAlignment="1">
      <alignment horizontal="center" vertical="center" wrapText="1"/>
    </xf>
    <xf numFmtId="1" fontId="12" fillId="0" borderId="1" xfId="0" applyNumberFormat="1" applyFont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/>
    </xf>
    <xf numFmtId="1" fontId="7" fillId="9" borderId="1" xfId="0" applyNumberFormat="1" applyFont="1" applyFill="1" applyBorder="1" applyAlignment="1">
      <alignment horizontal="center" vertical="center"/>
    </xf>
    <xf numFmtId="1" fontId="7" fillId="0" borderId="0" xfId="0" applyNumberFormat="1" applyFont="1" applyAlignment="1">
      <alignment horizontal="center" vertical="center" wrapText="1"/>
    </xf>
    <xf numFmtId="1" fontId="12" fillId="7" borderId="0" xfId="0" applyNumberFormat="1" applyFont="1" applyFill="1" applyAlignment="1">
      <alignment horizontal="center" vertical="center" wrapText="1"/>
    </xf>
    <xf numFmtId="164" fontId="7" fillId="0" borderId="0" xfId="0" applyNumberFormat="1" applyFont="1" applyAlignment="1">
      <alignment horizontal="center" vertical="center"/>
    </xf>
    <xf numFmtId="164" fontId="7" fillId="7" borderId="0" xfId="0" applyNumberFormat="1" applyFont="1" applyFill="1" applyAlignment="1">
      <alignment horizontal="center" vertical="center"/>
    </xf>
    <xf numFmtId="1" fontId="17" fillId="2" borderId="2" xfId="0" applyNumberFormat="1" applyFont="1" applyFill="1" applyBorder="1" applyAlignment="1">
      <alignment horizontal="left" vertical="center" wrapText="1"/>
    </xf>
    <xf numFmtId="14" fontId="1" fillId="2" borderId="2" xfId="0" applyNumberFormat="1" applyFont="1" applyFill="1" applyBorder="1" applyAlignment="1">
      <alignment horizontal="center" vertical="center" wrapText="1"/>
    </xf>
    <xf numFmtId="1" fontId="3" fillId="11" borderId="1" xfId="0" applyNumberFormat="1" applyFont="1" applyFill="1" applyBorder="1" applyAlignment="1">
      <alignment horizontal="center" vertical="center" wrapText="1"/>
    </xf>
    <xf numFmtId="1" fontId="3" fillId="5" borderId="1" xfId="0" applyNumberFormat="1" applyFont="1" applyFill="1" applyBorder="1" applyAlignment="1">
      <alignment horizontal="center" vertical="center" wrapText="1"/>
    </xf>
    <xf numFmtId="1" fontId="18" fillId="7" borderId="1" xfId="0" applyNumberFormat="1" applyFont="1" applyFill="1" applyBorder="1" applyAlignment="1">
      <alignment horizontal="center" vertical="center" wrapText="1"/>
    </xf>
    <xf numFmtId="1" fontId="18" fillId="7" borderId="0" xfId="0" applyNumberFormat="1" applyFont="1" applyFill="1" applyAlignment="1">
      <alignment horizontal="center" vertical="center" wrapText="1"/>
    </xf>
    <xf numFmtId="0" fontId="10" fillId="0" borderId="1" xfId="0" applyFont="1" applyBorder="1"/>
    <xf numFmtId="14" fontId="19" fillId="0" borderId="1" xfId="0" applyNumberFormat="1" applyFont="1" applyBorder="1" applyAlignment="1">
      <alignment horizontal="center"/>
    </xf>
    <xf numFmtId="1" fontId="20" fillId="7" borderId="1" xfId="0" applyNumberFormat="1" applyFont="1" applyFill="1" applyBorder="1" applyAlignment="1">
      <alignment horizontal="center" vertical="center"/>
    </xf>
    <xf numFmtId="14" fontId="15" fillId="0" borderId="0" xfId="0" applyNumberFormat="1" applyFont="1" applyAlignment="1">
      <alignment horizontal="center"/>
    </xf>
    <xf numFmtId="1" fontId="8" fillId="7" borderId="0" xfId="0" applyNumberFormat="1" applyFont="1" applyFill="1" applyAlignment="1">
      <alignment horizontal="center" vertical="center"/>
    </xf>
    <xf numFmtId="1" fontId="21" fillId="7" borderId="1" xfId="0" applyNumberFormat="1" applyFont="1" applyFill="1" applyBorder="1" applyAlignment="1">
      <alignment horizontal="left" vertical="center" wrapText="1"/>
    </xf>
    <xf numFmtId="1" fontId="22" fillId="7" borderId="1" xfId="0" applyNumberFormat="1" applyFont="1" applyFill="1" applyBorder="1" applyAlignment="1">
      <alignment horizontal="center" vertical="center"/>
    </xf>
    <xf numFmtId="167" fontId="8" fillId="7" borderId="1" xfId="0" applyNumberFormat="1" applyFont="1" applyFill="1" applyBorder="1" applyAlignment="1">
      <alignment horizontal="center" vertical="center"/>
    </xf>
    <xf numFmtId="1" fontId="20" fillId="0" borderId="1" xfId="0" applyNumberFormat="1" applyFont="1" applyBorder="1" applyAlignment="1">
      <alignment horizontal="center" vertical="center"/>
    </xf>
    <xf numFmtId="168" fontId="15" fillId="0" borderId="1" xfId="0" applyNumberFormat="1" applyFont="1" applyBorder="1" applyAlignment="1">
      <alignment horizontal="center"/>
    </xf>
    <xf numFmtId="1" fontId="21" fillId="7" borderId="0" xfId="0" applyNumberFormat="1" applyFont="1" applyFill="1" applyAlignment="1">
      <alignment horizontal="left" vertical="center" wrapText="1"/>
    </xf>
    <xf numFmtId="14" fontId="8" fillId="7" borderId="1" xfId="0" applyNumberFormat="1" applyFont="1" applyFill="1" applyBorder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1" fontId="23" fillId="7" borderId="1" xfId="0" applyNumberFormat="1" applyFont="1" applyFill="1" applyBorder="1" applyAlignment="1">
      <alignment horizontal="center" vertical="center"/>
    </xf>
    <xf numFmtId="0" fontId="20" fillId="7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14" fontId="15" fillId="0" borderId="1" xfId="0" applyNumberFormat="1" applyFont="1" applyBorder="1" applyAlignment="1">
      <alignment horizontal="center"/>
    </xf>
    <xf numFmtId="1" fontId="7" fillId="7" borderId="0" xfId="0" applyNumberFormat="1" applyFont="1" applyFill="1" applyAlignment="1">
      <alignment horizontal="center" vertical="center" wrapText="1"/>
    </xf>
    <xf numFmtId="1" fontId="23" fillId="7" borderId="0" xfId="0" applyNumberFormat="1" applyFont="1" applyFill="1" applyAlignment="1">
      <alignment horizontal="center" vertical="center"/>
    </xf>
    <xf numFmtId="1" fontId="20" fillId="0" borderId="0" xfId="0" applyNumberFormat="1" applyFont="1" applyAlignment="1">
      <alignment horizontal="center" vertical="center"/>
    </xf>
    <xf numFmtId="0" fontId="7" fillId="12" borderId="1" xfId="0" applyFont="1" applyFill="1" applyBorder="1" applyAlignment="1">
      <alignment horizontal="center" vertical="center"/>
    </xf>
    <xf numFmtId="1" fontId="24" fillId="0" borderId="1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center"/>
    </xf>
  </cellXfs>
  <cellStyles count="1">
    <cellStyle name="Normal" xfId="0" builtinId="0"/>
  </cellStyles>
  <dxfs count="16">
    <dxf>
      <fill>
        <patternFill patternType="solid">
          <fgColor rgb="FFD9E2F3"/>
          <bgColor rgb="FFD9E2F3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ECECEC"/>
          <bgColor rgb="FFECECEC"/>
        </patternFill>
      </fill>
    </dxf>
  </dxfs>
  <tableStyles count="8" defaultTableStyle="TableStyleMedium2" defaultPivotStyle="PivotStyleLight16">
    <tableStyle name="Alexandre FLOREK  -style" pivot="0" count="2" xr9:uid="{DEEC18F1-1A60-42AB-ADDC-7AAF2779E164}">
      <tableStyleElement type="firstRowStripe" dxfId="13"/>
      <tableStyleElement type="secondRowStripe" dxfId="12"/>
    </tableStyle>
    <tableStyle name="Alexandre FLOREK  -style 2" pivot="0" count="2" xr9:uid="{7130E59D-5614-4784-8B19-9B070FC7179D}">
      <tableStyleElement type="firstRowStripe" dxfId="11"/>
      <tableStyleElement type="secondRowStripe" dxfId="10"/>
    </tableStyle>
    <tableStyle name="Alexandre FLOREK  -style 3" pivot="0" count="2" xr9:uid="{D3A1D009-DC83-43EC-847E-60EBA83C01B5}">
      <tableStyleElement type="firstRowStripe" dxfId="9"/>
      <tableStyleElement type="secondRowStripe" dxfId="8"/>
    </tableStyle>
    <tableStyle name="Arnaud LANDAIS -style" pivot="0" count="2" xr9:uid="{52B742D5-6D9E-4D88-AF11-39BC4E25F253}">
      <tableStyleElement type="firstRowStripe" dxfId="15"/>
      <tableStyleElement type="secondRowStripe" dxfId="14"/>
    </tableStyle>
    <tableStyle name="Boutique-style" pivot="0" count="2" xr9:uid="{DB63F53F-B5BF-4558-8295-FCE582A31851}">
      <tableStyleElement type="firstRowStripe" dxfId="7"/>
      <tableStyleElement type="secondRowStripe" dxfId="6"/>
    </tableStyle>
    <tableStyle name="Boutique-style 2" pivot="0" count="2" xr9:uid="{696AD5C0-4811-43BC-9CBB-F206E88318D1}">
      <tableStyleElement type="firstRowStripe" dxfId="5"/>
      <tableStyleElement type="secondRowStripe" dxfId="4"/>
    </tableStyle>
    <tableStyle name="Cédric DELABI -style" pivot="0" count="2" xr9:uid="{5C89EDDA-CA62-48A7-A664-06A51E649011}">
      <tableStyleElement type="firstRowStripe" dxfId="3"/>
      <tableStyleElement type="secondRowStripe" dxfId="2"/>
    </tableStyle>
    <tableStyle name="Cédric DELABI -style 2" pivot="0" count="2" xr9:uid="{61490B94-17A6-48ED-8D11-E96634018F18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57BF72-ADC6-4C5F-8F3D-4152F8F41F5F}" name="Table_1" displayName="Table_1" ref="AQ3:AQ5" headerRowCount="0">
  <tableColumns count="1">
    <tableColumn id="1" xr3:uid="{C040499C-1FB5-4311-BC57-62CA561D05EC}" name="Column1"/>
  </tableColumns>
  <tableStyleInfo name="Arnaud LANDAIS 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CA7BCF7-85C2-4F6E-994E-9B2C2F6129C6}" name="Table_11" displayName="Table_11" ref="AQ3" headerRowCount="0">
  <tableColumns count="1">
    <tableColumn id="1" xr3:uid="{2007E8CF-7DD5-433A-BEA2-0B920FCDFBEC}" name="Column1"/>
  </tableColumns>
  <tableStyleInfo name="Alexandre FLOREK  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9F2A075-8F82-42E7-89DE-1FE7399267CD}" name="Table_12" displayName="Table_12" ref="A9:B9" headerRowCount="0">
  <tableColumns count="2">
    <tableColumn id="1" xr3:uid="{1F2899C2-D1C2-48DA-913B-AC491EEF1711}" name="Column1"/>
    <tableColumn id="2" xr3:uid="{DB4B362E-92D8-4899-9AF9-9D053083940E}" name="Column2"/>
  </tableColumns>
  <tableStyleInfo name="Alexandre FLOREK  -style 2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4F962D5-5550-4F9B-89BE-0C0DAA667F88}" name="Table_13" displayName="Table_13" ref="X9:AC9" headerRowCount="0">
  <tableColumns count="6">
    <tableColumn id="1" xr3:uid="{E4244951-89DB-4282-8253-0AC14695F90D}" name="Column1"/>
    <tableColumn id="2" xr3:uid="{C56582E5-1FB7-4A6C-A7F3-62CA29BF59F4}" name="Column2"/>
    <tableColumn id="3" xr3:uid="{099DF6CB-E36A-431D-A470-AEC03964DA4B}" name="Column3"/>
    <tableColumn id="4" xr3:uid="{D8AADBAD-BD79-41D3-BB67-B56935DF902D}" name="Column4"/>
    <tableColumn id="5" xr3:uid="{F3241BFC-BA36-4F70-8B2E-D9BEB6F46069}" name="Column5"/>
    <tableColumn id="6" xr3:uid="{224A567E-4901-4169-BCFF-B4AD766E8E55}" name="Column6"/>
  </tableColumns>
  <tableStyleInfo name="Alexandre FLOREK  -style 3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3F525AC-1162-4B79-B3A0-0577D9B4E93E}" name="Table_36" displayName="Table_36" ref="J2:N2" headerRowCount="0">
  <tableColumns count="5">
    <tableColumn id="1" xr3:uid="{37BA11F1-9A7F-4926-9CC9-2171D2C65AEB}" name="Column1"/>
    <tableColumn id="2" xr3:uid="{A2832A4E-82A4-4132-8759-F22505700EA9}" name="Column2"/>
    <tableColumn id="3" xr3:uid="{D7CF8513-DECC-465C-AD15-BAE4615F02E1}" name="Column3"/>
    <tableColumn id="4" xr3:uid="{6CCFCC2D-2E4D-4DBD-908A-5C32621188B3}" name="Column4"/>
    <tableColumn id="5" xr3:uid="{72F56980-DC9C-4369-A5E6-1A6D5E7FAA8F}" name="Column5"/>
  </tableColumns>
  <tableStyleInfo name="Boutique-style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937E323-65A3-447F-8AB9-7C39DCFDE8D5}" name="Table_37" displayName="Table_37" ref="AQ3:AQ4" headerRowCount="0">
  <tableColumns count="1">
    <tableColumn id="1" xr3:uid="{702182E3-F420-43BF-82F3-883B60885EC0}" name="Column1"/>
  </tableColumns>
  <tableStyleInfo name="Boutique-style 2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9FE0782-9FEA-4D8F-ADB8-F83BDFB95AD4}" name="Table_56" displayName="Table_56" ref="B3:B5" headerRowCount="0">
  <tableColumns count="1">
    <tableColumn id="1" xr3:uid="{351BCBC4-653F-4FE2-B15D-941DC25EF9D6}" name="Column1"/>
  </tableColumns>
  <tableStyleInfo name="Cédric DELABI -style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59F8D56-7708-497F-83A2-32A7F6621A30}" name="Table_57" displayName="Table_57" ref="E3:F5" headerRowCount="0">
  <tableColumns count="2">
    <tableColumn id="1" xr3:uid="{A44D4D70-597E-4981-B648-F1C191D580DB}" name="Column1"/>
    <tableColumn id="2" xr3:uid="{00A56EB8-E22B-4734-9932-7CA5101A5907}" name="Column2"/>
  </tableColumns>
  <tableStyleInfo name="Cédric DELABI -style 2" showFirstColumn="1" showLastColumn="1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mailto:isabelle.benoit1@emilfrey.fr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comite.entreprisearco@wanadoo.fr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hyperlink" Target="mailto:jennifer@bcvv86.fr" TargetMode="External"/><Relationship Id="rId1" Type="http://schemas.openxmlformats.org/officeDocument/2006/relationships/hyperlink" Target="mailto:jennifer@bcvv86.fr" TargetMode="Externa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tresorier-cse.ouest@aftral.com" TargetMode="External"/><Relationship Id="rId2" Type="http://schemas.openxmlformats.org/officeDocument/2006/relationships/hyperlink" Target="mailto:tresorier-cse.ouest@aftral.com" TargetMode="External"/><Relationship Id="rId1" Type="http://schemas.openxmlformats.org/officeDocument/2006/relationships/hyperlink" Target="mailto:ce@adc.faya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7F0CF-CF65-4621-9A4F-F48D99E5E2CA}">
  <dimension ref="A1:AZ7"/>
  <sheetViews>
    <sheetView workbookViewId="0">
      <selection activeCell="F2" sqref="F2"/>
    </sheetView>
  </sheetViews>
  <sheetFormatPr baseColWidth="10" defaultRowHeight="14.4" x14ac:dyDescent="0.3"/>
  <cols>
    <col min="9" max="9" width="27.5546875" customWidth="1"/>
  </cols>
  <sheetData>
    <row r="1" spans="1:52" ht="48" customHeight="1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4" t="s">
        <v>6</v>
      </c>
      <c r="H1" s="5" t="s">
        <v>7</v>
      </c>
      <c r="I1" s="6" t="s">
        <v>8</v>
      </c>
      <c r="J1" s="5" t="s">
        <v>9</v>
      </c>
      <c r="K1" s="5" t="s">
        <v>10</v>
      </c>
      <c r="L1" s="6" t="s">
        <v>11</v>
      </c>
      <c r="M1" s="5" t="s">
        <v>12</v>
      </c>
      <c r="N1" s="5" t="s">
        <v>13</v>
      </c>
      <c r="O1" s="1" t="s">
        <v>14</v>
      </c>
      <c r="P1" s="1" t="s">
        <v>15</v>
      </c>
      <c r="Q1" s="1" t="s">
        <v>16</v>
      </c>
      <c r="R1" s="7" t="s">
        <v>17</v>
      </c>
      <c r="S1" s="7" t="s">
        <v>18</v>
      </c>
      <c r="T1" s="1" t="s">
        <v>19</v>
      </c>
      <c r="U1" s="8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7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9" t="s">
        <v>33</v>
      </c>
      <c r="AI1" s="9" t="s">
        <v>34</v>
      </c>
      <c r="AJ1" s="10" t="s">
        <v>35</v>
      </c>
      <c r="AK1" s="10" t="s">
        <v>36</v>
      </c>
      <c r="AL1" s="10" t="s">
        <v>37</v>
      </c>
      <c r="AM1" s="10" t="s">
        <v>38</v>
      </c>
      <c r="AN1" s="10" t="s">
        <v>39</v>
      </c>
      <c r="AO1" s="10" t="s">
        <v>40</v>
      </c>
      <c r="AP1" s="11" t="s">
        <v>41</v>
      </c>
      <c r="AQ1" s="12" t="s">
        <v>42</v>
      </c>
      <c r="AR1" s="11"/>
      <c r="AS1" s="11"/>
      <c r="AT1" s="11"/>
      <c r="AU1" s="11"/>
      <c r="AV1" s="13"/>
      <c r="AW1" s="13"/>
      <c r="AX1" s="13"/>
      <c r="AY1" s="13"/>
      <c r="AZ1" s="13"/>
    </row>
    <row r="2" spans="1:52" ht="78" x14ac:dyDescent="0.3">
      <c r="A2" s="14" t="s">
        <v>43</v>
      </c>
      <c r="B2" s="15" t="s">
        <v>44</v>
      </c>
      <c r="C2" s="16" t="s">
        <v>45</v>
      </c>
      <c r="D2" s="17">
        <v>40</v>
      </c>
      <c r="E2" s="16" t="s">
        <v>46</v>
      </c>
      <c r="F2" s="18">
        <v>2026</v>
      </c>
      <c r="G2" s="19">
        <v>46072</v>
      </c>
      <c r="H2" s="14">
        <v>0</v>
      </c>
      <c r="I2" s="20" t="s">
        <v>47</v>
      </c>
      <c r="J2" s="14">
        <v>0</v>
      </c>
      <c r="K2" s="14">
        <v>0</v>
      </c>
      <c r="L2" s="21" t="s">
        <v>47</v>
      </c>
      <c r="M2" s="22">
        <v>0</v>
      </c>
      <c r="N2" s="22">
        <v>0</v>
      </c>
      <c r="O2" s="23" t="s">
        <v>48</v>
      </c>
      <c r="P2" s="23"/>
      <c r="Q2" s="16"/>
      <c r="R2" s="24" t="s">
        <v>49</v>
      </c>
      <c r="S2" s="24"/>
      <c r="T2" s="23" t="s">
        <v>50</v>
      </c>
      <c r="U2" s="16">
        <v>65</v>
      </c>
      <c r="V2" s="16" t="s">
        <v>51</v>
      </c>
      <c r="W2" s="16">
        <v>65000</v>
      </c>
      <c r="X2" s="16" t="s">
        <v>52</v>
      </c>
      <c r="Y2" s="16" t="s">
        <v>53</v>
      </c>
      <c r="Z2" s="17" t="s">
        <v>54</v>
      </c>
      <c r="AA2" s="16" t="s">
        <v>55</v>
      </c>
      <c r="AB2" s="25" t="s">
        <v>56</v>
      </c>
      <c r="AC2" s="26"/>
      <c r="AD2" s="16" t="s">
        <v>57</v>
      </c>
      <c r="AE2" s="16"/>
      <c r="AF2" s="16"/>
      <c r="AG2" s="16"/>
      <c r="AH2" s="16"/>
      <c r="AI2" s="16"/>
      <c r="AJ2" s="27"/>
      <c r="AK2" s="27"/>
      <c r="AL2" s="27"/>
      <c r="AM2" s="27"/>
      <c r="AN2" s="27"/>
      <c r="AO2" s="27"/>
      <c r="AP2" s="16"/>
      <c r="AQ2" s="16"/>
      <c r="AR2" s="16"/>
      <c r="AS2" s="16"/>
      <c r="AT2" s="16"/>
      <c r="AU2" s="16"/>
      <c r="AV2" s="28"/>
      <c r="AW2" s="28"/>
      <c r="AX2" s="28"/>
      <c r="AY2" s="28"/>
      <c r="AZ2" s="28"/>
    </row>
    <row r="3" spans="1:52" ht="15.6" x14ac:dyDescent="0.3">
      <c r="A3" s="14"/>
      <c r="B3" s="15" t="s">
        <v>58</v>
      </c>
      <c r="C3" s="16"/>
      <c r="D3" s="17">
        <v>20</v>
      </c>
      <c r="E3" s="23" t="s">
        <v>59</v>
      </c>
      <c r="F3" s="29"/>
      <c r="G3" s="19"/>
      <c r="H3" s="14"/>
      <c r="I3" s="20"/>
      <c r="J3" s="14"/>
      <c r="K3" s="14"/>
      <c r="L3" s="30"/>
      <c r="M3" s="26"/>
      <c r="N3" s="26"/>
      <c r="O3" s="23"/>
      <c r="P3" s="23"/>
      <c r="Q3" s="16"/>
      <c r="R3" s="31" t="s">
        <v>60</v>
      </c>
      <c r="S3" s="31"/>
      <c r="T3" s="16"/>
      <c r="U3" s="16">
        <v>85</v>
      </c>
      <c r="V3" s="16" t="s">
        <v>61</v>
      </c>
      <c r="W3" s="16" t="s">
        <v>62</v>
      </c>
      <c r="X3" s="16" t="s">
        <v>63</v>
      </c>
      <c r="Y3" s="16"/>
      <c r="Z3" s="17"/>
      <c r="AA3" s="32"/>
      <c r="AB3" s="16"/>
      <c r="AC3" s="16" t="s">
        <v>64</v>
      </c>
      <c r="AD3" s="16"/>
      <c r="AE3" s="16"/>
      <c r="AF3" s="16"/>
      <c r="AG3" s="16"/>
      <c r="AH3" s="16"/>
      <c r="AI3" s="16"/>
      <c r="AJ3" s="27"/>
      <c r="AK3" s="27"/>
      <c r="AL3" s="27"/>
      <c r="AM3" s="27"/>
      <c r="AN3" s="27"/>
      <c r="AO3" s="27"/>
      <c r="AP3" s="16"/>
      <c r="AQ3" s="16"/>
      <c r="AR3" s="19"/>
      <c r="AS3" s="16"/>
      <c r="AT3" s="16"/>
      <c r="AU3" s="16"/>
      <c r="AV3" s="28"/>
      <c r="AW3" s="28"/>
      <c r="AX3" s="28"/>
      <c r="AY3" s="28"/>
      <c r="AZ3" s="28"/>
    </row>
    <row r="4" spans="1:52" ht="93.6" x14ac:dyDescent="0.3">
      <c r="A4" s="14" t="s">
        <v>43</v>
      </c>
      <c r="B4" s="15" t="s">
        <v>65</v>
      </c>
      <c r="C4" s="17" t="s">
        <v>66</v>
      </c>
      <c r="D4" s="17">
        <v>540</v>
      </c>
      <c r="E4" s="24" t="s">
        <v>67</v>
      </c>
      <c r="F4" s="32">
        <v>2024</v>
      </c>
      <c r="G4" s="33">
        <v>45615</v>
      </c>
      <c r="H4" s="14">
        <v>3</v>
      </c>
      <c r="I4" s="20">
        <v>45859</v>
      </c>
      <c r="J4" s="14">
        <v>2</v>
      </c>
      <c r="K4" s="14">
        <v>0</v>
      </c>
      <c r="L4" s="21">
        <v>45797</v>
      </c>
      <c r="M4" s="22">
        <v>2</v>
      </c>
      <c r="N4" s="22">
        <v>0</v>
      </c>
      <c r="O4" s="23" t="s">
        <v>68</v>
      </c>
      <c r="P4" s="23"/>
      <c r="Q4" s="23"/>
      <c r="R4" s="24" t="s">
        <v>69</v>
      </c>
      <c r="S4" s="24"/>
      <c r="T4" s="23" t="s">
        <v>70</v>
      </c>
      <c r="U4" s="23">
        <v>57</v>
      </c>
      <c r="V4" s="34" t="s">
        <v>71</v>
      </c>
      <c r="W4" s="23">
        <v>57152</v>
      </c>
      <c r="X4" s="23" t="s">
        <v>72</v>
      </c>
      <c r="Y4" s="23" t="s">
        <v>73</v>
      </c>
      <c r="Z4" s="34" t="s">
        <v>74</v>
      </c>
      <c r="AA4" s="23" t="s">
        <v>75</v>
      </c>
      <c r="AB4" s="35" t="s">
        <v>76</v>
      </c>
      <c r="AC4" s="16" t="s">
        <v>77</v>
      </c>
      <c r="AD4" s="23" t="s">
        <v>47</v>
      </c>
      <c r="AE4" s="23"/>
      <c r="AF4" s="23"/>
      <c r="AG4" s="23" t="s">
        <v>78</v>
      </c>
      <c r="AH4" s="16" t="s">
        <v>79</v>
      </c>
      <c r="AI4" s="23"/>
      <c r="AJ4" s="36">
        <v>95</v>
      </c>
      <c r="AK4" s="36">
        <v>20</v>
      </c>
      <c r="AL4" s="36">
        <f>AJ4-AK4</f>
        <v>75</v>
      </c>
      <c r="AM4" s="36">
        <v>0</v>
      </c>
      <c r="AN4" s="36">
        <f>AL4-AM4</f>
        <v>75</v>
      </c>
      <c r="AO4" s="36">
        <f>AN4</f>
        <v>75</v>
      </c>
      <c r="AP4" s="23"/>
      <c r="AQ4" s="23"/>
      <c r="AR4" s="23"/>
      <c r="AS4" s="23"/>
      <c r="AT4" s="23"/>
      <c r="AU4" s="23"/>
      <c r="AV4" s="37"/>
      <c r="AW4" s="37"/>
      <c r="AX4" s="37"/>
      <c r="AY4" s="37"/>
      <c r="AZ4" s="37"/>
    </row>
    <row r="5" spans="1:52" ht="46.8" x14ac:dyDescent="0.3">
      <c r="A5" s="14" t="s">
        <v>43</v>
      </c>
      <c r="B5" s="15" t="s">
        <v>80</v>
      </c>
      <c r="C5" s="16"/>
      <c r="D5" s="17"/>
      <c r="E5" s="16" t="s">
        <v>81</v>
      </c>
      <c r="F5" s="29"/>
      <c r="G5" s="19"/>
      <c r="H5" s="14"/>
      <c r="I5" s="20"/>
      <c r="J5" s="14"/>
      <c r="K5" s="14"/>
      <c r="L5" s="21"/>
      <c r="M5" s="22"/>
      <c r="N5" s="22"/>
      <c r="O5" s="23" t="s">
        <v>68</v>
      </c>
      <c r="P5" s="23" t="s">
        <v>82</v>
      </c>
      <c r="Q5" s="16"/>
      <c r="R5" s="24" t="s">
        <v>83</v>
      </c>
      <c r="S5" s="24"/>
      <c r="T5" s="16" t="s">
        <v>84</v>
      </c>
      <c r="U5" s="16"/>
      <c r="V5" s="16"/>
      <c r="W5" s="16"/>
      <c r="X5" s="16"/>
      <c r="Y5" s="16" t="s">
        <v>85</v>
      </c>
      <c r="Z5" s="17" t="s">
        <v>86</v>
      </c>
      <c r="AA5" s="16"/>
      <c r="AB5" s="25" t="s">
        <v>87</v>
      </c>
      <c r="AC5" s="16" t="s">
        <v>88</v>
      </c>
      <c r="AD5" s="16"/>
      <c r="AE5" s="16"/>
      <c r="AF5" s="16"/>
      <c r="AG5" s="16"/>
      <c r="AH5" s="16"/>
      <c r="AI5" s="16"/>
      <c r="AJ5" s="27"/>
      <c r="AK5" s="27"/>
      <c r="AL5" s="27"/>
      <c r="AM5" s="27"/>
      <c r="AN5" s="27"/>
      <c r="AO5" s="27"/>
      <c r="AP5" s="16"/>
      <c r="AQ5" s="16" t="s">
        <v>89</v>
      </c>
      <c r="AR5" s="16"/>
      <c r="AS5" s="16"/>
      <c r="AT5" s="16"/>
      <c r="AU5" s="16"/>
      <c r="AV5" s="28"/>
      <c r="AW5" s="28"/>
      <c r="AX5" s="28"/>
      <c r="AY5" s="28"/>
      <c r="AZ5" s="28"/>
    </row>
    <row r="6" spans="1:52" ht="93.6" x14ac:dyDescent="0.3">
      <c r="A6" s="14" t="s">
        <v>43</v>
      </c>
      <c r="B6" s="15" t="s">
        <v>90</v>
      </c>
      <c r="C6" s="17" t="s">
        <v>91</v>
      </c>
      <c r="D6" s="17">
        <v>120</v>
      </c>
      <c r="E6" s="24" t="s">
        <v>67</v>
      </c>
      <c r="F6" s="32">
        <v>2022</v>
      </c>
      <c r="G6" s="33">
        <v>44739</v>
      </c>
      <c r="H6" s="14">
        <v>0</v>
      </c>
      <c r="I6" s="20" t="s">
        <v>47</v>
      </c>
      <c r="J6" s="14">
        <v>0</v>
      </c>
      <c r="K6" s="14">
        <v>0</v>
      </c>
      <c r="L6" s="21" t="s">
        <v>47</v>
      </c>
      <c r="M6" s="22">
        <v>0</v>
      </c>
      <c r="N6" s="22">
        <v>0</v>
      </c>
      <c r="O6" s="23" t="s">
        <v>68</v>
      </c>
      <c r="P6" s="23"/>
      <c r="Q6" s="23"/>
      <c r="R6" s="24" t="s">
        <v>92</v>
      </c>
      <c r="S6" s="24"/>
      <c r="T6" s="23" t="s">
        <v>50</v>
      </c>
      <c r="U6" s="23">
        <v>86</v>
      </c>
      <c r="V6" s="17" t="s">
        <v>93</v>
      </c>
      <c r="W6" s="23">
        <v>86180</v>
      </c>
      <c r="X6" s="23" t="s">
        <v>94</v>
      </c>
      <c r="Y6" s="23" t="s">
        <v>95</v>
      </c>
      <c r="Z6" s="34" t="s">
        <v>96</v>
      </c>
      <c r="AA6" s="23" t="s">
        <v>97</v>
      </c>
      <c r="AB6" s="35" t="s">
        <v>98</v>
      </c>
      <c r="AC6" s="16" t="s">
        <v>99</v>
      </c>
      <c r="AD6" s="23" t="s">
        <v>100</v>
      </c>
      <c r="AE6" s="23"/>
      <c r="AF6" s="16"/>
      <c r="AG6" s="16" t="s">
        <v>78</v>
      </c>
      <c r="AH6" s="16" t="s">
        <v>79</v>
      </c>
      <c r="AI6" s="23" t="s">
        <v>47</v>
      </c>
      <c r="AJ6" s="36">
        <v>95</v>
      </c>
      <c r="AK6" s="36">
        <v>20</v>
      </c>
      <c r="AL6" s="36">
        <f t="shared" ref="AL6:AL7" si="0">AJ6-AK6</f>
        <v>75</v>
      </c>
      <c r="AM6" s="36">
        <v>0</v>
      </c>
      <c r="AN6" s="36">
        <f t="shared" ref="AN6:AN7" si="1">AL6-AM6</f>
        <v>75</v>
      </c>
      <c r="AO6" s="36">
        <f t="shared" ref="AO6:AO7" si="2">AN6</f>
        <v>75</v>
      </c>
      <c r="AP6" s="23"/>
      <c r="AQ6" s="23"/>
      <c r="AR6" s="23"/>
      <c r="AS6" s="23"/>
      <c r="AT6" s="23"/>
      <c r="AU6" s="23"/>
      <c r="AV6" s="37"/>
      <c r="AW6" s="37"/>
      <c r="AX6" s="37"/>
      <c r="AY6" s="37"/>
      <c r="AZ6" s="37"/>
    </row>
    <row r="7" spans="1:52" ht="78" x14ac:dyDescent="0.3">
      <c r="A7" s="14" t="s">
        <v>43</v>
      </c>
      <c r="B7" s="15" t="s">
        <v>101</v>
      </c>
      <c r="C7" s="17" t="s">
        <v>102</v>
      </c>
      <c r="D7" s="17">
        <v>180</v>
      </c>
      <c r="E7" s="24" t="s">
        <v>103</v>
      </c>
      <c r="F7" s="38"/>
      <c r="G7" s="33"/>
      <c r="H7" s="14"/>
      <c r="I7" s="20"/>
      <c r="J7" s="14"/>
      <c r="K7" s="14"/>
      <c r="L7" s="21"/>
      <c r="M7" s="22"/>
      <c r="N7" s="22"/>
      <c r="O7" s="23" t="s">
        <v>68</v>
      </c>
      <c r="P7" s="23"/>
      <c r="Q7" s="23"/>
      <c r="R7" s="24" t="s">
        <v>104</v>
      </c>
      <c r="S7" s="24"/>
      <c r="T7" s="23" t="s">
        <v>50</v>
      </c>
      <c r="U7" s="23">
        <v>37</v>
      </c>
      <c r="V7" s="17" t="s">
        <v>105</v>
      </c>
      <c r="W7" s="23">
        <v>37541</v>
      </c>
      <c r="X7" s="23" t="s">
        <v>106</v>
      </c>
      <c r="Y7" s="23" t="s">
        <v>107</v>
      </c>
      <c r="Z7" s="34" t="s">
        <v>108</v>
      </c>
      <c r="AA7" s="23" t="s">
        <v>55</v>
      </c>
      <c r="AB7" s="35" t="s">
        <v>109</v>
      </c>
      <c r="AC7" s="16"/>
      <c r="AD7" s="23" t="s">
        <v>110</v>
      </c>
      <c r="AE7" s="23" t="s">
        <v>47</v>
      </c>
      <c r="AF7" s="16" t="s">
        <v>111</v>
      </c>
      <c r="AG7" s="23" t="s">
        <v>78</v>
      </c>
      <c r="AH7" s="16"/>
      <c r="AI7" s="23"/>
      <c r="AJ7" s="36">
        <v>95</v>
      </c>
      <c r="AK7" s="36">
        <v>20</v>
      </c>
      <c r="AL7" s="36">
        <f t="shared" si="0"/>
        <v>75</v>
      </c>
      <c r="AM7" s="36">
        <v>0</v>
      </c>
      <c r="AN7" s="36">
        <f t="shared" si="1"/>
        <v>75</v>
      </c>
      <c r="AO7" s="36">
        <f t="shared" si="2"/>
        <v>75</v>
      </c>
      <c r="AP7" s="23"/>
      <c r="AQ7" s="23"/>
      <c r="AR7" s="23"/>
      <c r="AS7" s="23"/>
      <c r="AT7" s="23"/>
      <c r="AU7" s="23"/>
      <c r="AV7" s="37"/>
      <c r="AW7" s="37"/>
      <c r="AX7" s="37"/>
      <c r="AY7" s="37"/>
      <c r="AZ7" s="37"/>
    </row>
  </sheetData>
  <dataValidations count="5">
    <dataValidation type="list" allowBlank="1" showErrorMessage="1" sqref="P2 P4:P7" xr:uid="{3F541D73-6AF9-48BE-93F3-6CC6F824E3B4}">
      <formula1>"Salon CSE Bordeaux 2025,Contactys 2024,Boutique LEX14,Parrainage 300 €,SDO62,MGE37,ORDIFORMA 62,CDI79,EBS41,FGTE,Prospection,Perso,Démarchage,Opportunité commerciale,Prospection Directe,recommandation,Salon CSE Nantes 2025,Salon CSE Bordeaux 2024,Salon Na"&amp;"ncy 2024,Réseau CFDT,Salon CSE,Réseau PRO,Réseau UNSA,UNSA transport,Parrainage,Contactys 2023,Salon Metz 2025,Salon CSE La Rochelle 2025,Click Droit Informatique 79,Salon CSE Poitiers 2025,Salon CSE Metz 2026,Salon CSE Rennes 2026,Salon CSE Tours 2026,Op"&amp;"ération phoning 2026"</formula1>
    </dataValidation>
    <dataValidation type="list" allowBlank="1" showErrorMessage="1" sqref="O2 O4:O7" xr:uid="{0FE6B517-0B7E-41EA-9920-E2CB49CBF555}">
      <formula1>"CSE,Associations,Partenariats annulés,Syndicats,Entreprise"</formula1>
    </dataValidation>
    <dataValidation type="list" allowBlank="1" showErrorMessage="1" sqref="R2:R7" xr:uid="{EE514A62-3AF8-4167-BA2F-A60986FC86AE}">
      <formula1>" LEX014 ,AGUIAR Wilfrid,BENOIT Gwladys,BERNIER Séverine,BIARDOUX Bruno,BIRÉ Aurélie,BLIN Mélinda,BOUCHER Anthony,BOURREL Sandrine,BOUTIN Séverine,BRAULT Victor,BRETON Martin,BROSSARD Danila,CDI79 ,CHEVARIN Alain,CUBAUD Valérie,DELABI Cédric,DELATTRE Hervé"&amp;",DERUELLE Christophe,DPC49 ,DURAT Maxence,EBS41 ,EIM01 ,FAURY Béatrice,FLOREK  Alexandre,FPC72 ,GAILLARD Nathalie,GAUVILLE Ghislaine,GRUAUD Sandrine,HÉRAULT Véronique,HUARD Christophe,HUBERT Philippe ,ITS62 ,JACQUART Marie-Hélène,JLB49 ,LANDAIS Arnaud,LE "&amp;"PEVEDIC Karine,LEDOUX Justine,LEX14 ,MINEAU Isabelle,PCI48 ,PINO CORTES Franck,SALGUIERO Elisabeth,SINAMO Samuel,THIBAUD Francis ,TOIX Laure,VERGNE Thierry,WEISSENBACHER Fabien,COLIN Sophie,PERROT Francis,PHILIPPEAU Olivier,BOUCHER Anthony,ADV,PRESTAT Sté"&amp;"phanie"</formula1>
    </dataValidation>
    <dataValidation type="list" allowBlank="1" showErrorMessage="1" sqref="A2 A4:A7" xr:uid="{9B7D540B-5A7E-4CBC-AD42-9881A7893D38}">
      <formula1>"AOPIA,LIKEFORMATION ,CONTACTYS,LFS"</formula1>
    </dataValidation>
    <dataValidation type="list" allowBlank="1" showErrorMessage="1" sqref="E2:E7" xr:uid="{73572DC6-3455-48FD-B71C-2D4186508EC0}">
      <formula1>"En cours,En prospect,Refus,Reprise de contact,Signée,Signée sans convention,Pas d'intérêt,stop,signée/stop,À prospecter ,en cours de signature,Stand by ,Signé nouveau process"</formula1>
    </dataValidation>
  </dataValidations>
  <hyperlinks>
    <hyperlink ref="AB7" r:id="rId1" xr:uid="{D95373AD-C70D-4778-AE39-CD32FA545F35}"/>
  </hyperlinks>
  <pageMargins left="0.7" right="0.7" top="0.75" bottom="0.75" header="0.3" footer="0.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D30A5-235A-4726-90DE-AA4753996C79}">
  <dimension ref="A1:AU6"/>
  <sheetViews>
    <sheetView workbookViewId="0">
      <selection sqref="A1:XFD6"/>
    </sheetView>
  </sheetViews>
  <sheetFormatPr baseColWidth="10" defaultRowHeight="14.4" x14ac:dyDescent="0.3"/>
  <sheetData>
    <row r="1" spans="1:47" ht="48" customHeight="1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5" t="s">
        <v>7</v>
      </c>
      <c r="I1" s="6" t="s">
        <v>8</v>
      </c>
      <c r="J1" s="5" t="s">
        <v>9</v>
      </c>
      <c r="K1" s="5" t="s">
        <v>10</v>
      </c>
      <c r="L1" s="6" t="s">
        <v>11</v>
      </c>
      <c r="M1" s="5" t="s">
        <v>12</v>
      </c>
      <c r="N1" s="5" t="s">
        <v>13</v>
      </c>
      <c r="O1" s="1" t="s">
        <v>14</v>
      </c>
      <c r="P1" s="1" t="s">
        <v>15</v>
      </c>
      <c r="Q1" s="1" t="s">
        <v>16</v>
      </c>
      <c r="R1" s="7" t="s">
        <v>17</v>
      </c>
      <c r="S1" s="7" t="s">
        <v>18</v>
      </c>
      <c r="T1" s="1" t="s">
        <v>19</v>
      </c>
      <c r="U1" s="8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7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9" t="s">
        <v>33</v>
      </c>
      <c r="AI1" s="9" t="s">
        <v>34</v>
      </c>
      <c r="AJ1" s="10" t="s">
        <v>35</v>
      </c>
      <c r="AK1" s="10" t="s">
        <v>36</v>
      </c>
      <c r="AL1" s="10" t="s">
        <v>37</v>
      </c>
      <c r="AM1" s="10" t="s">
        <v>38</v>
      </c>
      <c r="AN1" s="10" t="s">
        <v>39</v>
      </c>
      <c r="AO1" s="10" t="s">
        <v>40</v>
      </c>
      <c r="AP1" s="11" t="s">
        <v>41</v>
      </c>
      <c r="AQ1" s="12" t="s">
        <v>42</v>
      </c>
      <c r="AR1" s="11"/>
      <c r="AS1" s="11"/>
      <c r="AT1" s="11"/>
      <c r="AU1" s="11"/>
    </row>
    <row r="2" spans="1:47" ht="46.8" x14ac:dyDescent="0.3">
      <c r="A2" s="14" t="s">
        <v>43</v>
      </c>
      <c r="B2" s="15" t="s">
        <v>112</v>
      </c>
      <c r="C2" s="17" t="s">
        <v>113</v>
      </c>
      <c r="D2" s="17"/>
      <c r="E2" s="24" t="s">
        <v>103</v>
      </c>
      <c r="F2" s="38"/>
      <c r="G2" s="33"/>
      <c r="H2" s="14"/>
      <c r="I2" s="14"/>
      <c r="J2" s="14"/>
      <c r="K2" s="14"/>
      <c r="L2" s="22"/>
      <c r="M2" s="22"/>
      <c r="N2" s="22"/>
      <c r="O2" s="23" t="s">
        <v>68</v>
      </c>
      <c r="P2" s="23"/>
      <c r="Q2" s="23"/>
      <c r="R2" s="24" t="s">
        <v>114</v>
      </c>
      <c r="S2" s="24"/>
      <c r="T2" s="23" t="s">
        <v>50</v>
      </c>
      <c r="U2" s="23">
        <v>79</v>
      </c>
      <c r="V2" s="34" t="s">
        <v>115</v>
      </c>
      <c r="W2" s="23">
        <v>79100</v>
      </c>
      <c r="X2" s="23" t="s">
        <v>116</v>
      </c>
      <c r="Y2" s="23" t="s">
        <v>117</v>
      </c>
      <c r="Z2" s="34" t="s">
        <v>118</v>
      </c>
      <c r="AA2" s="23" t="s">
        <v>119</v>
      </c>
      <c r="AB2" s="35" t="s">
        <v>120</v>
      </c>
      <c r="AC2" s="16" t="s">
        <v>121</v>
      </c>
      <c r="AD2" s="23" t="s">
        <v>122</v>
      </c>
      <c r="AE2" s="23" t="s">
        <v>47</v>
      </c>
      <c r="AF2" s="23"/>
      <c r="AG2" s="16" t="s">
        <v>78</v>
      </c>
      <c r="AH2" s="16" t="s">
        <v>79</v>
      </c>
      <c r="AI2" s="23"/>
      <c r="AJ2" s="36">
        <v>95</v>
      </c>
      <c r="AK2" s="36">
        <v>20</v>
      </c>
      <c r="AL2" s="36">
        <f t="shared" ref="AL2:AL5" si="0">AJ2-AK2</f>
        <v>75</v>
      </c>
      <c r="AM2" s="36">
        <v>0</v>
      </c>
      <c r="AN2" s="36">
        <f t="shared" ref="AN2:AN5" si="1">AL2-AM2</f>
        <v>75</v>
      </c>
      <c r="AO2" s="36">
        <f t="shared" ref="AO2:AO5" si="2">AN2</f>
        <v>75</v>
      </c>
      <c r="AP2" s="23"/>
      <c r="AQ2" s="23"/>
      <c r="AR2" s="23"/>
      <c r="AS2" s="23"/>
      <c r="AT2" s="23"/>
      <c r="AU2" s="23"/>
    </row>
    <row r="3" spans="1:47" ht="78" x14ac:dyDescent="0.3">
      <c r="A3" s="14" t="s">
        <v>43</v>
      </c>
      <c r="B3" s="15" t="s">
        <v>123</v>
      </c>
      <c r="C3" s="17" t="s">
        <v>124</v>
      </c>
      <c r="D3" s="17"/>
      <c r="E3" s="24" t="s">
        <v>103</v>
      </c>
      <c r="F3" s="38"/>
      <c r="G3" s="33"/>
      <c r="H3" s="14"/>
      <c r="I3" s="14"/>
      <c r="J3" s="14"/>
      <c r="K3" s="14"/>
      <c r="L3" s="22"/>
      <c r="M3" s="22"/>
      <c r="N3" s="22"/>
      <c r="O3" s="23" t="s">
        <v>68</v>
      </c>
      <c r="P3" s="23"/>
      <c r="Q3" s="23"/>
      <c r="R3" s="24" t="s">
        <v>114</v>
      </c>
      <c r="S3" s="24"/>
      <c r="T3" s="23" t="s">
        <v>50</v>
      </c>
      <c r="U3" s="23">
        <v>86</v>
      </c>
      <c r="V3" s="34" t="s">
        <v>125</v>
      </c>
      <c r="W3" s="23">
        <v>86007</v>
      </c>
      <c r="X3" s="23" t="s">
        <v>126</v>
      </c>
      <c r="Y3" s="23" t="s">
        <v>127</v>
      </c>
      <c r="Z3" s="34" t="s">
        <v>128</v>
      </c>
      <c r="AA3" s="23" t="s">
        <v>129</v>
      </c>
      <c r="AB3" s="35" t="s">
        <v>130</v>
      </c>
      <c r="AC3" s="16"/>
      <c r="AD3" s="23"/>
      <c r="AE3" s="23"/>
      <c r="AF3" s="23"/>
      <c r="AG3" s="23" t="s">
        <v>78</v>
      </c>
      <c r="AH3" s="23"/>
      <c r="AI3" s="23"/>
      <c r="AJ3" s="36">
        <v>95</v>
      </c>
      <c r="AK3" s="36">
        <v>20</v>
      </c>
      <c r="AL3" s="36">
        <f t="shared" si="0"/>
        <v>75</v>
      </c>
      <c r="AM3" s="36">
        <v>0</v>
      </c>
      <c r="AN3" s="36">
        <f t="shared" si="1"/>
        <v>75</v>
      </c>
      <c r="AO3" s="36">
        <f t="shared" si="2"/>
        <v>75</v>
      </c>
      <c r="AP3" s="23"/>
      <c r="AQ3" s="23"/>
      <c r="AR3" s="23"/>
      <c r="AS3" s="23"/>
      <c r="AT3" s="23"/>
      <c r="AU3" s="23"/>
    </row>
    <row r="4" spans="1:47" ht="109.2" x14ac:dyDescent="0.3">
      <c r="A4" s="14" t="s">
        <v>43</v>
      </c>
      <c r="B4" s="15" t="s">
        <v>131</v>
      </c>
      <c r="C4" s="17" t="s">
        <v>132</v>
      </c>
      <c r="D4" s="17">
        <v>800</v>
      </c>
      <c r="E4" s="24" t="s">
        <v>67</v>
      </c>
      <c r="F4" s="18">
        <v>2021</v>
      </c>
      <c r="G4" s="33">
        <v>44358</v>
      </c>
      <c r="H4" s="14">
        <v>13</v>
      </c>
      <c r="I4" s="20">
        <v>45993</v>
      </c>
      <c r="J4" s="14">
        <v>13</v>
      </c>
      <c r="K4" s="14">
        <v>0</v>
      </c>
      <c r="L4" s="21">
        <v>45988</v>
      </c>
      <c r="M4" s="22">
        <v>14</v>
      </c>
      <c r="N4" s="22">
        <v>0</v>
      </c>
      <c r="O4" s="23" t="s">
        <v>68</v>
      </c>
      <c r="P4" s="23"/>
      <c r="Q4" s="23"/>
      <c r="R4" s="24" t="s">
        <v>114</v>
      </c>
      <c r="S4" s="24"/>
      <c r="T4" s="23" t="s">
        <v>50</v>
      </c>
      <c r="U4" s="23">
        <v>86</v>
      </c>
      <c r="V4" s="34" t="s">
        <v>133</v>
      </c>
      <c r="W4" s="23">
        <v>86100</v>
      </c>
      <c r="X4" s="23" t="s">
        <v>134</v>
      </c>
      <c r="Y4" s="23" t="s">
        <v>135</v>
      </c>
      <c r="Z4" s="34" t="s">
        <v>136</v>
      </c>
      <c r="AA4" s="23" t="s">
        <v>55</v>
      </c>
      <c r="AB4" s="35" t="s">
        <v>137</v>
      </c>
      <c r="AC4" s="16" t="s">
        <v>47</v>
      </c>
      <c r="AD4" s="23" t="s">
        <v>138</v>
      </c>
      <c r="AE4" s="16" t="s">
        <v>139</v>
      </c>
      <c r="AF4" s="16" t="s">
        <v>140</v>
      </c>
      <c r="AG4" s="16" t="s">
        <v>78</v>
      </c>
      <c r="AH4" s="16" t="s">
        <v>79</v>
      </c>
      <c r="AI4" s="23" t="s">
        <v>47</v>
      </c>
      <c r="AJ4" s="36">
        <v>95</v>
      </c>
      <c r="AK4" s="36">
        <v>20</v>
      </c>
      <c r="AL4" s="36">
        <f t="shared" si="0"/>
        <v>75</v>
      </c>
      <c r="AM4" s="36">
        <v>0</v>
      </c>
      <c r="AN4" s="36">
        <f t="shared" si="1"/>
        <v>75</v>
      </c>
      <c r="AO4" s="36">
        <f t="shared" si="2"/>
        <v>75</v>
      </c>
      <c r="AP4" s="23"/>
      <c r="AQ4" s="23"/>
      <c r="AR4" s="23"/>
      <c r="AS4" s="23"/>
      <c r="AT4" s="23"/>
      <c r="AU4" s="23"/>
    </row>
    <row r="5" spans="1:47" ht="78" x14ac:dyDescent="0.3">
      <c r="A5" s="14" t="s">
        <v>43</v>
      </c>
      <c r="B5" s="15" t="s">
        <v>141</v>
      </c>
      <c r="C5" s="17" t="s">
        <v>142</v>
      </c>
      <c r="D5" s="17">
        <v>1000</v>
      </c>
      <c r="E5" s="24" t="s">
        <v>67</v>
      </c>
      <c r="F5" s="18">
        <v>2021</v>
      </c>
      <c r="G5" s="33">
        <v>44295</v>
      </c>
      <c r="H5" s="39">
        <v>0</v>
      </c>
      <c r="I5" s="40" t="s">
        <v>47</v>
      </c>
      <c r="J5" s="41">
        <v>0</v>
      </c>
      <c r="K5" s="39">
        <v>0</v>
      </c>
      <c r="L5" s="42" t="s">
        <v>47</v>
      </c>
      <c r="M5" s="43">
        <v>0</v>
      </c>
      <c r="N5" s="43">
        <v>0</v>
      </c>
      <c r="O5" s="23" t="s">
        <v>68</v>
      </c>
      <c r="P5" s="23"/>
      <c r="Q5" s="23"/>
      <c r="R5" s="24" t="s">
        <v>114</v>
      </c>
      <c r="S5" s="24"/>
      <c r="T5" s="23" t="s">
        <v>50</v>
      </c>
      <c r="U5" s="23">
        <v>86</v>
      </c>
      <c r="V5" s="17" t="s">
        <v>143</v>
      </c>
      <c r="W5" s="16">
        <v>86360</v>
      </c>
      <c r="X5" s="16" t="s">
        <v>144</v>
      </c>
      <c r="Y5" s="23" t="s">
        <v>145</v>
      </c>
      <c r="Z5" s="34" t="s">
        <v>146</v>
      </c>
      <c r="AA5" s="23" t="s">
        <v>55</v>
      </c>
      <c r="AB5" s="35" t="s">
        <v>147</v>
      </c>
      <c r="AC5" s="16" t="s">
        <v>148</v>
      </c>
      <c r="AD5" s="16" t="s">
        <v>47</v>
      </c>
      <c r="AE5" s="16" t="s">
        <v>47</v>
      </c>
      <c r="AF5" s="16"/>
      <c r="AG5" s="16" t="s">
        <v>78</v>
      </c>
      <c r="AH5" s="16" t="s">
        <v>79</v>
      </c>
      <c r="AI5" s="23" t="s">
        <v>47</v>
      </c>
      <c r="AJ5" s="36">
        <v>95</v>
      </c>
      <c r="AK5" s="36">
        <v>20</v>
      </c>
      <c r="AL5" s="36">
        <f t="shared" si="0"/>
        <v>75</v>
      </c>
      <c r="AM5" s="36">
        <v>0</v>
      </c>
      <c r="AN5" s="36">
        <f t="shared" si="1"/>
        <v>75</v>
      </c>
      <c r="AO5" s="36">
        <f t="shared" si="2"/>
        <v>75</v>
      </c>
      <c r="AP5" s="23"/>
      <c r="AQ5" s="23"/>
      <c r="AR5" s="23"/>
      <c r="AS5" s="23"/>
      <c r="AT5" s="23"/>
      <c r="AU5" s="23"/>
    </row>
    <row r="6" spans="1:47" ht="78" x14ac:dyDescent="0.3">
      <c r="A6" s="44" t="s">
        <v>43</v>
      </c>
      <c r="B6" s="15" t="s">
        <v>149</v>
      </c>
      <c r="C6" s="17"/>
      <c r="D6" s="17"/>
      <c r="E6" s="24" t="s">
        <v>150</v>
      </c>
      <c r="F6" s="29"/>
      <c r="G6" s="19"/>
      <c r="H6" s="44"/>
      <c r="I6" s="44"/>
      <c r="J6" s="44"/>
      <c r="K6" s="44"/>
      <c r="L6" s="45"/>
      <c r="M6" s="45"/>
      <c r="N6" s="45"/>
      <c r="O6" s="16"/>
      <c r="P6" s="16" t="s">
        <v>151</v>
      </c>
      <c r="Q6" s="16"/>
      <c r="R6" s="24" t="s">
        <v>114</v>
      </c>
      <c r="S6" s="24"/>
      <c r="T6" s="23" t="s">
        <v>50</v>
      </c>
      <c r="U6" s="16"/>
      <c r="V6" s="17"/>
      <c r="W6" s="16"/>
      <c r="X6" s="16"/>
      <c r="Y6" s="16" t="s">
        <v>152</v>
      </c>
      <c r="Z6" s="17" t="s">
        <v>153</v>
      </c>
      <c r="AA6" s="16"/>
      <c r="AB6" s="35" t="s">
        <v>154</v>
      </c>
      <c r="AC6" s="16" t="s">
        <v>155</v>
      </c>
      <c r="AD6" s="16"/>
      <c r="AE6" s="16"/>
      <c r="AF6" s="16"/>
      <c r="AG6" s="16"/>
      <c r="AH6" s="16"/>
      <c r="AI6" s="16"/>
      <c r="AJ6" s="27"/>
      <c r="AK6" s="27"/>
      <c r="AL6" s="27"/>
      <c r="AM6" s="27"/>
      <c r="AN6" s="27"/>
      <c r="AO6" s="27"/>
      <c r="AP6" s="16"/>
      <c r="AQ6" s="16"/>
      <c r="AR6" s="16"/>
      <c r="AS6" s="16"/>
      <c r="AT6" s="16"/>
      <c r="AU6" s="16"/>
    </row>
  </sheetData>
  <dataValidations count="5">
    <dataValidation type="list" allowBlank="1" showErrorMessage="1" sqref="A2:A6" xr:uid="{6F2DF8B7-2B34-4223-8B17-C6E711FF90BE}">
      <formula1>"AOPIA,LIKEFORMATION ,CONTACTYS,LFS"</formula1>
    </dataValidation>
    <dataValidation type="list" allowBlank="1" showErrorMessage="1" sqref="P2:P6" xr:uid="{1A359E0C-5C1B-40ED-884E-0B305A616E06}">
      <formula1>"Salon CSE Bordeaux 2025,Contactys 2024,Boutique LEX14,Parrainage 300 €,SDO62,MGE37,ORDIFORMA 62,CDI79,EBS41,FGTE,Prospection,Perso,Démarchage,Opportunité commerciale,Prospection Directe,recommandation,Salon CSE Nantes 2025,Salon CSE Bordeaux 2024,Salon Na"&amp;"ncy 2024,Réseau CFDT,Salon CSE,Réseau PRO,Réseau UNSA,UNSA transport,Parrainage,Contactys 2023,Salon Metz 2025,Salon CSE La Rochelle 2025,Click Droit Informatique 79,Salon CSE Poitiers 2025,Salon CSE Metz 2026,Salon CSE Rennes 2026,Salon CSE Tours 2026"</formula1>
    </dataValidation>
    <dataValidation type="list" allowBlank="1" showErrorMessage="1" sqref="O2:O5" xr:uid="{5BAED237-B2E5-4961-98D2-659FD347F513}">
      <formula1>"CSE,Associations,Partenariats annulés,Syndicats,Entreprise"</formula1>
    </dataValidation>
    <dataValidation type="list" allowBlank="1" showErrorMessage="1" sqref="R2:R6" xr:uid="{CC656D83-CDE7-4BF4-A73D-639557E893B7}">
      <formula1>" LEX014 ,AGUIAR Wilfrid,BENOIT Gwladys,BERNIER Séverine,BIARDOUX Bruno,BIRÉ Aurélie,BLIN Mélinda,BOUCHER Anthony,BOURREL Sandrine,BOUTIN Séverine,BRAULT Victor,BRETON Martin,BROSSARD Danila,CDI79 ,CHEVARIN Alain,CUBAUD Valérie,DELABI Cédric,DELATTRE Hervé"&amp;",DERUELLE Christophe,DPC49 ,DURAT Maxence,EBS41 ,EIM01 ,FAURY Béatrice,FLOREK  Alexandre,FPC72 ,GAILLARD Nathalie,GAUVILLE Ghislaine,GRUAUD Sandrine,HÉRAULT Véronique,HUARD Christophe,HUBERT Philippe ,ITS62 ,JACQUART Marie-Hélène,JLB49 ,LANDAIS Arnaud,LE "&amp;"PEVEDIC Karine,LEDOUX Justine,LEX14 ,MINEAU Isabelle,PCI48 ,PINO CORTES Franck,SALGUIERO Elisabeth,SINAMO Samuel,THIBAUD Francis ,TOIX Laure,VERGNE Thierry,WEISSENBACHER Fabien,COLIN Sophie,PERROT Francis,PHILIPPEAU Olivier,BOUCHER Anthony,ADV"</formula1>
    </dataValidation>
    <dataValidation type="list" allowBlank="1" showErrorMessage="1" sqref="E2:E6" xr:uid="{DC50417C-EF7C-47BD-83BC-5F17C6E02B44}">
      <formula1>"En cours,En prospect,Refus,Reprise de contact,Signée,Signée sans convention,Pas d'intérêt,stop,signée/stop,À prospecter ,en cours de signature,Stand by ,Signé nouveau process"</formula1>
    </dataValidation>
  </dataValidations>
  <hyperlinks>
    <hyperlink ref="AB4" r:id="rId1" xr:uid="{EAFCCF88-4FAC-4D04-951A-48EACA962017}"/>
  </hyperlinks>
  <pageMargins left="0.7" right="0.7" top="0.75" bottom="0.75" header="0.3" footer="0.3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1C8DF-D850-44CE-B84B-89388DF08366}">
  <dimension ref="A1:BH9"/>
  <sheetViews>
    <sheetView workbookViewId="0">
      <selection sqref="A1:XFD9"/>
    </sheetView>
  </sheetViews>
  <sheetFormatPr baseColWidth="10" defaultRowHeight="14.4" x14ac:dyDescent="0.3"/>
  <sheetData>
    <row r="1" spans="1:60" ht="48" customHeight="1" x14ac:dyDescent="0.3">
      <c r="A1" s="46" t="s">
        <v>0</v>
      </c>
      <c r="B1" s="47" t="s">
        <v>1</v>
      </c>
      <c r="C1" s="46" t="s">
        <v>2</v>
      </c>
      <c r="D1" s="46" t="s">
        <v>3</v>
      </c>
      <c r="E1" s="46" t="s">
        <v>4</v>
      </c>
      <c r="F1" s="48" t="s">
        <v>5</v>
      </c>
      <c r="G1" s="48" t="s">
        <v>6</v>
      </c>
      <c r="H1" s="5" t="s">
        <v>7</v>
      </c>
      <c r="I1" s="6" t="s">
        <v>8</v>
      </c>
      <c r="J1" s="5" t="s">
        <v>9</v>
      </c>
      <c r="K1" s="5" t="s">
        <v>10</v>
      </c>
      <c r="L1" s="6" t="s">
        <v>11</v>
      </c>
      <c r="M1" s="5" t="s">
        <v>12</v>
      </c>
      <c r="N1" s="5" t="s">
        <v>13</v>
      </c>
      <c r="O1" s="46" t="s">
        <v>14</v>
      </c>
      <c r="P1" s="46" t="s">
        <v>15</v>
      </c>
      <c r="Q1" s="46" t="s">
        <v>16</v>
      </c>
      <c r="R1" s="49" t="s">
        <v>17</v>
      </c>
      <c r="S1" s="49" t="s">
        <v>18</v>
      </c>
      <c r="T1" s="46" t="s">
        <v>19</v>
      </c>
      <c r="U1" s="50" t="s">
        <v>20</v>
      </c>
      <c r="V1" s="46" t="s">
        <v>21</v>
      </c>
      <c r="W1" s="46" t="s">
        <v>22</v>
      </c>
      <c r="X1" s="46" t="s">
        <v>23</v>
      </c>
      <c r="Y1" s="46" t="s">
        <v>24</v>
      </c>
      <c r="Z1" s="46" t="s">
        <v>25</v>
      </c>
      <c r="AA1" s="46" t="s">
        <v>26</v>
      </c>
      <c r="AB1" s="49" t="s">
        <v>27</v>
      </c>
      <c r="AC1" s="46" t="s">
        <v>28</v>
      </c>
      <c r="AD1" s="46" t="s">
        <v>29</v>
      </c>
      <c r="AE1" s="46" t="s">
        <v>30</v>
      </c>
      <c r="AF1" s="46" t="s">
        <v>31</v>
      </c>
      <c r="AG1" s="46" t="s">
        <v>32</v>
      </c>
      <c r="AH1" s="51" t="s">
        <v>33</v>
      </c>
      <c r="AI1" s="51" t="s">
        <v>34</v>
      </c>
      <c r="AJ1" s="52" t="s">
        <v>35</v>
      </c>
      <c r="AK1" s="52" t="s">
        <v>36</v>
      </c>
      <c r="AL1" s="52" t="s">
        <v>37</v>
      </c>
      <c r="AM1" s="52" t="s">
        <v>38</v>
      </c>
      <c r="AN1" s="52" t="s">
        <v>39</v>
      </c>
      <c r="AO1" s="52" t="s">
        <v>40</v>
      </c>
      <c r="AP1" s="53" t="s">
        <v>41</v>
      </c>
      <c r="AQ1" s="12" t="s">
        <v>42</v>
      </c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</row>
    <row r="2" spans="1:60" ht="78" x14ac:dyDescent="0.3">
      <c r="A2" s="14" t="s">
        <v>156</v>
      </c>
      <c r="B2" s="15" t="s">
        <v>157</v>
      </c>
      <c r="C2" s="17" t="s">
        <v>158</v>
      </c>
      <c r="D2" s="17">
        <v>195</v>
      </c>
      <c r="E2" s="24" t="s">
        <v>67</v>
      </c>
      <c r="F2" s="32">
        <v>2023</v>
      </c>
      <c r="G2" s="33">
        <v>44962</v>
      </c>
      <c r="H2" s="39">
        <v>0</v>
      </c>
      <c r="I2" s="40" t="s">
        <v>47</v>
      </c>
      <c r="J2" s="41">
        <v>0</v>
      </c>
      <c r="K2" s="39">
        <v>0</v>
      </c>
      <c r="L2" s="42" t="s">
        <v>47</v>
      </c>
      <c r="M2" s="43">
        <v>0</v>
      </c>
      <c r="N2" s="43">
        <v>0</v>
      </c>
      <c r="O2" s="23" t="s">
        <v>159</v>
      </c>
      <c r="P2" s="23" t="s">
        <v>160</v>
      </c>
      <c r="Q2" s="23"/>
      <c r="R2" s="24" t="s">
        <v>161</v>
      </c>
      <c r="S2" s="24" t="s">
        <v>162</v>
      </c>
      <c r="T2" s="16" t="s">
        <v>50</v>
      </c>
      <c r="U2" s="16">
        <v>18</v>
      </c>
      <c r="V2" s="34"/>
      <c r="W2" s="23"/>
      <c r="X2" s="16" t="s">
        <v>163</v>
      </c>
      <c r="Y2" s="16" t="s">
        <v>164</v>
      </c>
      <c r="Z2" s="17" t="s">
        <v>165</v>
      </c>
      <c r="AA2" s="23" t="s">
        <v>166</v>
      </c>
      <c r="AB2" s="35" t="s">
        <v>167</v>
      </c>
      <c r="AC2" s="16"/>
      <c r="AD2" s="23"/>
      <c r="AE2" s="23"/>
      <c r="AF2" s="23"/>
      <c r="AG2" s="23"/>
      <c r="AH2" s="23"/>
      <c r="AI2" s="23"/>
      <c r="AJ2" s="36">
        <v>49</v>
      </c>
      <c r="AK2" s="36"/>
      <c r="AL2" s="36"/>
      <c r="AM2" s="27"/>
      <c r="AN2" s="36"/>
      <c r="AO2" s="36"/>
      <c r="AP2" s="23"/>
      <c r="AQ2" s="23"/>
      <c r="AR2" s="37"/>
      <c r="AS2" s="37"/>
      <c r="AT2" s="37"/>
      <c r="AU2" s="37"/>
      <c r="AV2" s="37"/>
      <c r="AW2" s="37"/>
      <c r="AX2" s="37"/>
      <c r="AY2" s="37"/>
      <c r="AZ2" s="37"/>
      <c r="BA2" s="37"/>
      <c r="BB2" s="37"/>
      <c r="BC2" s="37"/>
      <c r="BD2" s="37"/>
      <c r="BE2" s="37"/>
      <c r="BF2" s="37"/>
      <c r="BG2" s="37"/>
      <c r="BH2" s="37"/>
    </row>
    <row r="3" spans="1:60" ht="93.6" x14ac:dyDescent="0.3">
      <c r="A3" s="14" t="s">
        <v>43</v>
      </c>
      <c r="B3" s="15" t="s">
        <v>168</v>
      </c>
      <c r="C3" s="17" t="s">
        <v>169</v>
      </c>
      <c r="D3" s="17">
        <v>64</v>
      </c>
      <c r="E3" s="24" t="s">
        <v>67</v>
      </c>
      <c r="F3" s="32">
        <v>2022</v>
      </c>
      <c r="G3" s="19">
        <v>44670</v>
      </c>
      <c r="H3" s="39">
        <v>0</v>
      </c>
      <c r="I3" s="40" t="s">
        <v>47</v>
      </c>
      <c r="J3" s="41">
        <v>0</v>
      </c>
      <c r="K3" s="39">
        <v>0</v>
      </c>
      <c r="L3" s="42" t="s">
        <v>47</v>
      </c>
      <c r="M3" s="43">
        <v>0</v>
      </c>
      <c r="N3" s="43">
        <v>0</v>
      </c>
      <c r="O3" s="23" t="s">
        <v>170</v>
      </c>
      <c r="P3" s="23"/>
      <c r="Q3" s="16"/>
      <c r="R3" s="24" t="s">
        <v>161</v>
      </c>
      <c r="S3" s="24"/>
      <c r="T3" s="23"/>
      <c r="U3" s="16">
        <v>33</v>
      </c>
      <c r="V3" s="17" t="s">
        <v>171</v>
      </c>
      <c r="W3" s="16">
        <v>33410</v>
      </c>
      <c r="X3" s="16" t="s">
        <v>172</v>
      </c>
      <c r="Y3" s="16" t="s">
        <v>173</v>
      </c>
      <c r="Z3" s="17" t="s">
        <v>174</v>
      </c>
      <c r="AA3" s="23" t="s">
        <v>55</v>
      </c>
      <c r="AB3" s="35" t="s">
        <v>175</v>
      </c>
      <c r="AC3" s="16" t="s">
        <v>176</v>
      </c>
      <c r="AD3" s="16"/>
      <c r="AE3" s="16"/>
      <c r="AF3" s="16" t="s">
        <v>177</v>
      </c>
      <c r="AG3" s="16"/>
      <c r="AH3" s="16"/>
      <c r="AI3" s="16"/>
      <c r="AJ3" s="16">
        <v>95</v>
      </c>
      <c r="AK3" s="16" t="s">
        <v>178</v>
      </c>
      <c r="AL3" s="16" t="s">
        <v>179</v>
      </c>
      <c r="AM3" s="27" t="s">
        <v>180</v>
      </c>
      <c r="AN3" s="27"/>
      <c r="AO3" s="27"/>
      <c r="AP3" s="16"/>
      <c r="AQ3" s="16"/>
      <c r="AR3" s="28"/>
      <c r="AS3" s="28"/>
      <c r="AT3" s="28"/>
      <c r="AU3" s="28"/>
      <c r="AV3" s="28"/>
      <c r="AW3" s="28"/>
      <c r="AX3" s="28"/>
      <c r="AY3" s="28"/>
      <c r="AZ3" s="28"/>
      <c r="BA3" s="28"/>
      <c r="BB3" s="28"/>
      <c r="BC3" s="28"/>
      <c r="BD3" s="28"/>
      <c r="BE3" s="28"/>
      <c r="BF3" s="28"/>
      <c r="BG3" s="28"/>
      <c r="BH3" s="28"/>
    </row>
    <row r="4" spans="1:60" ht="93.6" x14ac:dyDescent="0.3">
      <c r="A4" s="14" t="s">
        <v>43</v>
      </c>
      <c r="B4" s="15" t="s">
        <v>181</v>
      </c>
      <c r="C4" s="17" t="s">
        <v>182</v>
      </c>
      <c r="D4" s="17">
        <v>35</v>
      </c>
      <c r="E4" s="24" t="s">
        <v>67</v>
      </c>
      <c r="F4" s="32">
        <v>2022</v>
      </c>
      <c r="G4" s="19">
        <v>44641</v>
      </c>
      <c r="H4" s="39">
        <v>0</v>
      </c>
      <c r="I4" s="40" t="s">
        <v>47</v>
      </c>
      <c r="J4" s="41">
        <v>0</v>
      </c>
      <c r="K4" s="39">
        <v>0</v>
      </c>
      <c r="L4" s="42" t="s">
        <v>47</v>
      </c>
      <c r="M4" s="43">
        <v>0</v>
      </c>
      <c r="N4" s="43">
        <v>0</v>
      </c>
      <c r="O4" s="23" t="s">
        <v>170</v>
      </c>
      <c r="P4" s="23"/>
      <c r="Q4" s="16"/>
      <c r="R4" s="24" t="s">
        <v>161</v>
      </c>
      <c r="S4" s="24"/>
      <c r="T4" s="23"/>
      <c r="U4" s="16">
        <v>86</v>
      </c>
      <c r="V4" s="17" t="s">
        <v>183</v>
      </c>
      <c r="W4" s="16">
        <v>86210</v>
      </c>
      <c r="X4" s="16" t="s">
        <v>184</v>
      </c>
      <c r="Y4" s="16" t="s">
        <v>185</v>
      </c>
      <c r="Z4" s="54" t="s">
        <v>186</v>
      </c>
      <c r="AA4" s="23" t="s">
        <v>55</v>
      </c>
      <c r="AB4" s="35" t="s">
        <v>187</v>
      </c>
      <c r="AC4" s="16" t="s">
        <v>47</v>
      </c>
      <c r="AD4" s="16" t="s">
        <v>47</v>
      </c>
      <c r="AE4" s="16"/>
      <c r="AF4" s="16" t="s">
        <v>188</v>
      </c>
      <c r="AG4" s="16"/>
      <c r="AH4" s="16"/>
      <c r="AI4" s="16"/>
      <c r="AJ4" s="16">
        <v>95</v>
      </c>
      <c r="AK4" s="16" t="s">
        <v>178</v>
      </c>
      <c r="AL4" s="16" t="s">
        <v>179</v>
      </c>
      <c r="AM4" s="27" t="s">
        <v>180</v>
      </c>
      <c r="AN4" s="27"/>
      <c r="AO4" s="27"/>
      <c r="AP4" s="16"/>
      <c r="AQ4" s="16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</row>
    <row r="5" spans="1:60" ht="109.2" x14ac:dyDescent="0.3">
      <c r="A5" s="14" t="s">
        <v>43</v>
      </c>
      <c r="B5" s="15" t="s">
        <v>189</v>
      </c>
      <c r="C5" s="17" t="s">
        <v>190</v>
      </c>
      <c r="D5" s="17" t="s">
        <v>191</v>
      </c>
      <c r="E5" s="24" t="s">
        <v>103</v>
      </c>
      <c r="F5" s="38"/>
      <c r="G5" s="33"/>
      <c r="H5" s="14"/>
      <c r="I5" s="14"/>
      <c r="J5" s="14"/>
      <c r="K5" s="14"/>
      <c r="L5" s="22"/>
      <c r="M5" s="22"/>
      <c r="N5" s="22"/>
      <c r="O5" s="23" t="s">
        <v>68</v>
      </c>
      <c r="P5" s="23"/>
      <c r="Q5" s="23"/>
      <c r="R5" s="24" t="s">
        <v>161</v>
      </c>
      <c r="S5" s="24"/>
      <c r="T5" s="23"/>
      <c r="U5" s="23">
        <v>86</v>
      </c>
      <c r="V5" s="34" t="s">
        <v>192</v>
      </c>
      <c r="W5" s="23">
        <v>86130</v>
      </c>
      <c r="X5" s="23" t="s">
        <v>193</v>
      </c>
      <c r="Y5" s="23" t="s">
        <v>194</v>
      </c>
      <c r="Z5" s="34" t="s">
        <v>195</v>
      </c>
      <c r="AA5" s="23" t="s">
        <v>55</v>
      </c>
      <c r="AB5" s="35" t="s">
        <v>196</v>
      </c>
      <c r="AC5" s="16" t="s">
        <v>47</v>
      </c>
      <c r="AD5" s="23" t="s">
        <v>197</v>
      </c>
      <c r="AE5" s="23"/>
      <c r="AF5" s="23"/>
      <c r="AG5" s="23" t="s">
        <v>78</v>
      </c>
      <c r="AH5" s="23"/>
      <c r="AI5" s="23"/>
      <c r="AJ5" s="36"/>
      <c r="AK5" s="36"/>
      <c r="AL5" s="36"/>
      <c r="AM5" s="36"/>
      <c r="AN5" s="36"/>
      <c r="AO5" s="36"/>
      <c r="AP5" s="23"/>
      <c r="AQ5" s="23"/>
      <c r="AR5" s="37"/>
      <c r="AS5" s="37"/>
      <c r="AT5" s="37"/>
      <c r="AU5" s="37"/>
      <c r="AV5" s="37"/>
      <c r="AW5" s="37"/>
      <c r="AX5" s="37"/>
      <c r="AY5" s="37"/>
      <c r="AZ5" s="37"/>
      <c r="BA5" s="37"/>
      <c r="BB5" s="37"/>
      <c r="BC5" s="37"/>
      <c r="BD5" s="37"/>
      <c r="BE5" s="37"/>
      <c r="BF5" s="37"/>
      <c r="BG5" s="37"/>
      <c r="BH5" s="37"/>
    </row>
    <row r="6" spans="1:60" ht="93.6" x14ac:dyDescent="0.3">
      <c r="A6" s="14" t="s">
        <v>43</v>
      </c>
      <c r="B6" s="15" t="s">
        <v>198</v>
      </c>
      <c r="C6" s="17" t="s">
        <v>199</v>
      </c>
      <c r="D6" s="17"/>
      <c r="E6" s="23" t="s">
        <v>67</v>
      </c>
      <c r="F6" s="18">
        <v>2021</v>
      </c>
      <c r="G6" s="19">
        <v>44271</v>
      </c>
      <c r="H6" s="14">
        <v>0</v>
      </c>
      <c r="I6" s="20" t="s">
        <v>47</v>
      </c>
      <c r="J6" s="14">
        <v>0</v>
      </c>
      <c r="K6" s="14">
        <v>0</v>
      </c>
      <c r="L6" s="21" t="s">
        <v>47</v>
      </c>
      <c r="M6" s="22">
        <v>0</v>
      </c>
      <c r="N6" s="22">
        <v>0</v>
      </c>
      <c r="O6" s="23" t="s">
        <v>159</v>
      </c>
      <c r="P6" s="23"/>
      <c r="Q6" s="16"/>
      <c r="R6" s="24" t="s">
        <v>161</v>
      </c>
      <c r="S6" s="24"/>
      <c r="T6" s="23"/>
      <c r="U6" s="16">
        <v>16</v>
      </c>
      <c r="V6" s="17" t="s">
        <v>200</v>
      </c>
      <c r="W6" s="16">
        <v>16000</v>
      </c>
      <c r="X6" s="16" t="s">
        <v>201</v>
      </c>
      <c r="Y6" s="16" t="s">
        <v>202</v>
      </c>
      <c r="Z6" s="17" t="s">
        <v>203</v>
      </c>
      <c r="AA6" s="16" t="s">
        <v>204</v>
      </c>
      <c r="AB6" s="35" t="s">
        <v>205</v>
      </c>
      <c r="AC6" s="16" t="s">
        <v>206</v>
      </c>
      <c r="AD6" s="16" t="s">
        <v>47</v>
      </c>
      <c r="AE6" s="16"/>
      <c r="AF6" s="55"/>
      <c r="AG6" s="16"/>
      <c r="AH6" s="16"/>
      <c r="AI6" s="16"/>
      <c r="AJ6" s="27"/>
      <c r="AK6" s="27"/>
      <c r="AL6" s="55"/>
      <c r="AM6" s="27"/>
      <c r="AN6" s="27"/>
      <c r="AO6" s="27"/>
      <c r="AP6" s="16"/>
      <c r="AQ6" s="16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</row>
    <row r="7" spans="1:60" ht="124.8" x14ac:dyDescent="0.3">
      <c r="A7" s="14" t="s">
        <v>43</v>
      </c>
      <c r="B7" s="15" t="s">
        <v>207</v>
      </c>
      <c r="C7" s="17" t="s">
        <v>208</v>
      </c>
      <c r="D7" s="17"/>
      <c r="E7" s="23" t="s">
        <v>67</v>
      </c>
      <c r="F7" s="32">
        <v>2023</v>
      </c>
      <c r="G7" s="19">
        <v>45204</v>
      </c>
      <c r="H7" s="14">
        <v>0</v>
      </c>
      <c r="I7" s="20" t="s">
        <v>47</v>
      </c>
      <c r="J7" s="14">
        <v>0</v>
      </c>
      <c r="K7" s="14">
        <v>0</v>
      </c>
      <c r="L7" s="21" t="s">
        <v>47</v>
      </c>
      <c r="M7" s="22">
        <v>0</v>
      </c>
      <c r="N7" s="22">
        <v>0</v>
      </c>
      <c r="O7" s="23" t="s">
        <v>159</v>
      </c>
      <c r="P7" s="23"/>
      <c r="Q7" s="16"/>
      <c r="R7" s="24" t="s">
        <v>161</v>
      </c>
      <c r="S7" s="24"/>
      <c r="T7" s="16"/>
      <c r="U7" s="16">
        <v>37</v>
      </c>
      <c r="V7" s="17" t="s">
        <v>209</v>
      </c>
      <c r="W7" s="16">
        <v>37550</v>
      </c>
      <c r="X7" s="16" t="s">
        <v>210</v>
      </c>
      <c r="Y7" s="16" t="s">
        <v>211</v>
      </c>
      <c r="Z7" s="17" t="s">
        <v>212</v>
      </c>
      <c r="AA7" s="16" t="s">
        <v>213</v>
      </c>
      <c r="AB7" s="35" t="s">
        <v>214</v>
      </c>
      <c r="AC7" s="16" t="s">
        <v>215</v>
      </c>
      <c r="AD7" s="16" t="s">
        <v>47</v>
      </c>
      <c r="AE7" s="16"/>
      <c r="AF7" s="55"/>
      <c r="AG7" s="16"/>
      <c r="AH7" s="16"/>
      <c r="AI7" s="16"/>
      <c r="AJ7" s="27"/>
      <c r="AK7" s="27"/>
      <c r="AL7" s="55">
        <v>49</v>
      </c>
      <c r="AM7" s="27"/>
      <c r="AN7" s="27"/>
      <c r="AO7" s="27"/>
      <c r="AP7" s="16"/>
      <c r="AQ7" s="16"/>
      <c r="AR7" s="28"/>
      <c r="AS7" s="28"/>
      <c r="AT7" s="28"/>
      <c r="AU7" s="28"/>
      <c r="AV7" s="28"/>
      <c r="AW7" s="28"/>
      <c r="AX7" s="28"/>
      <c r="AY7" s="28"/>
      <c r="AZ7" s="28"/>
      <c r="BA7" s="28"/>
      <c r="BB7" s="28"/>
      <c r="BC7" s="28"/>
      <c r="BD7" s="28"/>
      <c r="BE7" s="28"/>
      <c r="BF7" s="28"/>
      <c r="BG7" s="28"/>
      <c r="BH7" s="28"/>
    </row>
    <row r="8" spans="1:60" ht="62.4" x14ac:dyDescent="0.3">
      <c r="A8" s="14" t="s">
        <v>43</v>
      </c>
      <c r="B8" s="15" t="s">
        <v>216</v>
      </c>
      <c r="C8" s="17" t="s">
        <v>217</v>
      </c>
      <c r="D8" s="17"/>
      <c r="E8" s="24" t="s">
        <v>103</v>
      </c>
      <c r="F8" s="38"/>
      <c r="G8" s="33"/>
      <c r="H8" s="14"/>
      <c r="I8" s="14"/>
      <c r="J8" s="14"/>
      <c r="K8" s="14"/>
      <c r="L8" s="22"/>
      <c r="M8" s="22"/>
      <c r="N8" s="22"/>
      <c r="O8" s="23" t="s">
        <v>68</v>
      </c>
      <c r="P8" s="23"/>
      <c r="Q8" s="23"/>
      <c r="R8" s="24" t="s">
        <v>161</v>
      </c>
      <c r="S8" s="24"/>
      <c r="T8" s="23"/>
      <c r="U8" s="23">
        <v>86</v>
      </c>
      <c r="V8" s="34"/>
      <c r="W8" s="23"/>
      <c r="X8" s="23"/>
      <c r="Y8" s="23" t="s">
        <v>218</v>
      </c>
      <c r="Z8" s="34"/>
      <c r="AA8" s="23"/>
      <c r="AB8" s="35"/>
      <c r="AC8" s="16"/>
      <c r="AD8" s="23"/>
      <c r="AE8" s="23"/>
      <c r="AF8" s="23"/>
      <c r="AG8" s="23" t="s">
        <v>78</v>
      </c>
      <c r="AH8" s="23"/>
      <c r="AI8" s="23"/>
      <c r="AJ8" s="36">
        <v>95</v>
      </c>
      <c r="AK8" s="36">
        <v>20</v>
      </c>
      <c r="AL8" s="36">
        <f>AJ8-AK8</f>
        <v>75</v>
      </c>
      <c r="AM8" s="36">
        <v>0</v>
      </c>
      <c r="AN8" s="36">
        <f>AL8-AM8</f>
        <v>75</v>
      </c>
      <c r="AO8" s="36"/>
      <c r="AP8" s="23"/>
      <c r="AQ8" s="23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</row>
    <row r="9" spans="1:60" ht="124.8" x14ac:dyDescent="0.3">
      <c r="A9" s="14" t="s">
        <v>43</v>
      </c>
      <c r="B9" s="15" t="s">
        <v>219</v>
      </c>
      <c r="C9" s="17" t="s">
        <v>220</v>
      </c>
      <c r="D9" s="17" t="s">
        <v>47</v>
      </c>
      <c r="E9" s="24" t="s">
        <v>221</v>
      </c>
      <c r="F9" s="32">
        <v>2022</v>
      </c>
      <c r="G9" s="33">
        <v>44700</v>
      </c>
      <c r="H9" s="14">
        <v>0</v>
      </c>
      <c r="I9" s="20" t="s">
        <v>47</v>
      </c>
      <c r="J9" s="14">
        <v>0</v>
      </c>
      <c r="K9" s="14">
        <v>0</v>
      </c>
      <c r="L9" s="21" t="s">
        <v>47</v>
      </c>
      <c r="M9" s="22">
        <v>0</v>
      </c>
      <c r="N9" s="22">
        <v>0</v>
      </c>
      <c r="O9" s="23" t="s">
        <v>48</v>
      </c>
      <c r="P9" s="23"/>
      <c r="Q9" s="23"/>
      <c r="R9" s="24" t="s">
        <v>161</v>
      </c>
      <c r="S9" s="24"/>
      <c r="T9" s="23"/>
      <c r="U9" s="23">
        <v>62</v>
      </c>
      <c r="V9" s="34" t="s">
        <v>222</v>
      </c>
      <c r="W9" s="23">
        <v>62113</v>
      </c>
      <c r="X9" s="23" t="s">
        <v>223</v>
      </c>
      <c r="Y9" s="23" t="s">
        <v>224</v>
      </c>
      <c r="Z9" s="34" t="s">
        <v>225</v>
      </c>
      <c r="AA9" s="23" t="s">
        <v>226</v>
      </c>
      <c r="AB9" s="35" t="s">
        <v>227</v>
      </c>
      <c r="AC9" s="16" t="s">
        <v>228</v>
      </c>
      <c r="AD9" s="23" t="s">
        <v>47</v>
      </c>
      <c r="AE9" s="16"/>
      <c r="AF9" s="16"/>
      <c r="AG9" s="16" t="s">
        <v>78</v>
      </c>
      <c r="AH9" s="16" t="s">
        <v>78</v>
      </c>
      <c r="AI9" s="23"/>
      <c r="AJ9" s="36">
        <v>95</v>
      </c>
      <c r="AK9" s="56">
        <v>0</v>
      </c>
      <c r="AL9" s="56">
        <v>95</v>
      </c>
      <c r="AM9" s="56">
        <v>0</v>
      </c>
      <c r="AN9" s="56">
        <v>95</v>
      </c>
      <c r="AO9" s="36">
        <v>95</v>
      </c>
      <c r="AP9" s="57" t="s">
        <v>229</v>
      </c>
      <c r="AQ9" s="57"/>
      <c r="AR9" s="58"/>
      <c r="AS9" s="58"/>
      <c r="AT9" s="58"/>
      <c r="AU9" s="58"/>
      <c r="AV9" s="58"/>
      <c r="AW9" s="58"/>
      <c r="AX9" s="58"/>
      <c r="AY9" s="58"/>
      <c r="AZ9" s="58"/>
      <c r="BA9" s="58"/>
      <c r="BB9" s="58"/>
      <c r="BC9" s="58"/>
      <c r="BD9" s="58"/>
      <c r="BE9" s="58"/>
      <c r="BF9" s="58"/>
      <c r="BG9" s="58"/>
      <c r="BH9" s="58"/>
    </row>
  </sheetData>
  <dataValidations count="6">
    <dataValidation type="list" allowBlank="1" showErrorMessage="1" sqref="A2:A9" xr:uid="{003C0CB9-390F-40CC-A96A-4564FE0070B4}">
      <formula1>"AOPIA,LIKEFORMATION ,CONTACTYS,LFS"</formula1>
    </dataValidation>
    <dataValidation type="list" allowBlank="1" showErrorMessage="1" sqref="P3:P9" xr:uid="{0EB9651E-0F33-47F4-A38D-3008C4135493}">
      <formula1>"Salon CSE Bordeaux 2025,Contactys 2024,Boutique LEX14,Parrainage 300 €,SDO62,MGE37,ORDIFORMA 62,CDI79,EBS41,FGTE,Prospection,Perso,Démarchage,Opportunité commerciale,Prospection Directe,recommandation,Salon CSE Nantes 2025,Salon CSE Bordeaux 2024,Salon Na"&amp;"ncy 2024,Réseau CFDT,Salon CSE,Réseau PRO,Réseau UNSA,UNSA transport,Parrainage,Contactys 2023,Salon Metz 2025,Salon CSE La Rochelle 2025,Click Droit Informatique 79,Salon CSE Poitiers 2025,Salon CSE Metz 2026,Salon CSE Rennes 2026,Salon CSE Tours 2026"</formula1>
    </dataValidation>
    <dataValidation type="list" allowBlank="1" showErrorMessage="1" sqref="O2:O9" xr:uid="{4F15D0E0-8F80-468A-937F-078927A14F2E}">
      <formula1>"CSE,Associations,Partenariats annulés,Syndicats,Entreprise"</formula1>
    </dataValidation>
    <dataValidation type="list" allowBlank="1" showErrorMessage="1" sqref="R2:R9" xr:uid="{7CF3A944-F1C5-49CB-8FCB-535EDCE90804}">
      <formula1>" LEX014 ,AGUIAR Wilfrid,BENOIT Gwladys,BERNIER Séverine,BIARDOUX Bruno,BIRÉ Aurélie,BLIN Mélinda,BOUCHER Anthony,BOURREL Sandrine,BOUTIN Séverine,BRAULT Victor,BRETON Martin,BROSSARD Danila,CDI79 ,CHEVARIN Alain,CUBAUD Valérie,DELABI Cédric,DELATTRE Hervé"&amp;",DERUELLE Christophe,DPC49 ,DURAT Maxence,EBS41 ,EIM01 ,FAURY Béatrice,FLOREK  Alexandre,FPC72 ,GAILLARD Nathalie,GAUVILLE Ghislaine,GRUAUD Sandrine,HÉRAULT Véronique,HUARD Christophe,HUBERT Philippe ,ITS62 ,JACQUART Marie-Hélène,JLB49 ,LANDAIS Arnaud,LE "&amp;"PEVEDIC Karine,LEDOUX Justine,LEX14 ,MINEAU Isabelle,PCI48 ,PINO CORTES Franck,SALGUIERO Elisabeth,SINAMO Samuel,THIBAUD Francis ,TOIX Laure,VERGNE Thierry,WEISSENBACHER Fabien,COLIN Sophie,PERROT Francis,PHILIPPEAU Olivier,BOUCHER Anthony,ADV"</formula1>
    </dataValidation>
    <dataValidation type="list" allowBlank="1" showErrorMessage="1" sqref="P2" xr:uid="{9CE7F52D-0167-49E4-A4DE-1CC3F00481F1}">
      <formula1>"Salon CSE Bordeaux 2025,Contactys,Contactys statut bleu,Contactys statut cyan,Contactys statut jaune,Contactys statut rouge,Contactys statut vert,Contactys statut violet,Boutique LEX14,Parrainage 300 €,SDO62,MGE37,ORDIFORMA 62,CDI79,EBS41,FGTE,Prospection"&amp;",Perso,Démarchage,Opportunité commerciale,Prospection Directe,recommandation,Salon CSE Nantes 2025,Salon CSE Bordeaux 2024,Salon Nancy 2024,Réseau CFDT,Salon CSE,RESEAU PRO,RESEAU UNSA,UNSA transport"</formula1>
    </dataValidation>
    <dataValidation type="list" allowBlank="1" showErrorMessage="1" sqref="E2:E9" xr:uid="{34022ACD-98E5-4F23-8A9F-009C04F12C2E}">
      <formula1>"En cours,En prospect,Refus,Reprise de contact,Signée,Signée sans convention,Pas d'intérêt,stop,signée/stop,À prospecter ,en cours de signature,Stand by ,Signé nouveau process"</formula1>
    </dataValidation>
  </dataValidations>
  <hyperlinks>
    <hyperlink ref="Z4" r:id="rId1" xr:uid="{13459F5C-882F-4CF7-987C-2F690666A7D5}"/>
    <hyperlink ref="AB4" r:id="rId2" xr:uid="{36A7761D-208F-439A-B5C3-C9B94262CD10}"/>
  </hyperlinks>
  <pageMargins left="0.7" right="0.7" top="0.75" bottom="0.75" header="0.3" footer="0.3"/>
  <tableParts count="3">
    <tablePart r:id="rId3"/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9830F-E216-49BC-896A-B666E0141AE2}">
  <dimension ref="A1:AU10"/>
  <sheetViews>
    <sheetView workbookViewId="0">
      <selection sqref="A1:XFD10"/>
    </sheetView>
  </sheetViews>
  <sheetFormatPr baseColWidth="10" defaultRowHeight="14.4" x14ac:dyDescent="0.3"/>
  <sheetData>
    <row r="1" spans="1:47" ht="48" customHeight="1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5" t="s">
        <v>7</v>
      </c>
      <c r="I1" s="6" t="s">
        <v>8</v>
      </c>
      <c r="J1" s="5" t="s">
        <v>9</v>
      </c>
      <c r="K1" s="5" t="s">
        <v>10</v>
      </c>
      <c r="L1" s="6" t="s">
        <v>11</v>
      </c>
      <c r="M1" s="5" t="s">
        <v>12</v>
      </c>
      <c r="N1" s="5" t="s">
        <v>13</v>
      </c>
      <c r="O1" s="1" t="s">
        <v>14</v>
      </c>
      <c r="P1" s="1" t="s">
        <v>15</v>
      </c>
      <c r="Q1" s="1" t="s">
        <v>16</v>
      </c>
      <c r="R1" s="7" t="s">
        <v>17</v>
      </c>
      <c r="S1" s="7" t="s">
        <v>18</v>
      </c>
      <c r="T1" s="1" t="s">
        <v>19</v>
      </c>
      <c r="U1" s="8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7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9" t="s">
        <v>33</v>
      </c>
      <c r="AI1" s="9" t="s">
        <v>34</v>
      </c>
      <c r="AJ1" s="10" t="s">
        <v>35</v>
      </c>
      <c r="AK1" s="10" t="s">
        <v>36</v>
      </c>
      <c r="AL1" s="10" t="s">
        <v>37</v>
      </c>
      <c r="AM1" s="10" t="s">
        <v>38</v>
      </c>
      <c r="AN1" s="10" t="s">
        <v>39</v>
      </c>
      <c r="AO1" s="10" t="s">
        <v>40</v>
      </c>
      <c r="AP1" s="11" t="s">
        <v>41</v>
      </c>
      <c r="AQ1" s="12" t="s">
        <v>42</v>
      </c>
      <c r="AR1" s="11"/>
      <c r="AS1" s="11"/>
      <c r="AT1" s="11"/>
      <c r="AU1" s="11"/>
    </row>
    <row r="2" spans="1:47" ht="78" x14ac:dyDescent="0.3">
      <c r="A2" s="14" t="s">
        <v>230</v>
      </c>
      <c r="B2" s="15" t="s">
        <v>231</v>
      </c>
      <c r="C2" s="17" t="s">
        <v>232</v>
      </c>
      <c r="D2" s="17"/>
      <c r="E2" s="24" t="s">
        <v>67</v>
      </c>
      <c r="F2" s="32">
        <v>2022</v>
      </c>
      <c r="G2" s="19">
        <v>44722</v>
      </c>
      <c r="H2" s="14">
        <v>2</v>
      </c>
      <c r="I2" s="20">
        <v>45742</v>
      </c>
      <c r="J2" s="14">
        <v>2</v>
      </c>
      <c r="K2" s="14">
        <v>0</v>
      </c>
      <c r="L2" s="42" t="s">
        <v>47</v>
      </c>
      <c r="M2" s="43">
        <v>0</v>
      </c>
      <c r="N2" s="43">
        <v>0</v>
      </c>
      <c r="O2" s="23"/>
      <c r="P2" s="23" t="s">
        <v>233</v>
      </c>
      <c r="Q2" s="23"/>
      <c r="R2" s="24"/>
      <c r="S2" s="59"/>
      <c r="T2" s="23" t="s">
        <v>234</v>
      </c>
      <c r="U2" s="16">
        <v>41</v>
      </c>
      <c r="V2" s="34" t="s">
        <v>235</v>
      </c>
      <c r="W2" s="23">
        <v>41200</v>
      </c>
      <c r="X2" s="23" t="s">
        <v>236</v>
      </c>
      <c r="Y2" s="23" t="s">
        <v>218</v>
      </c>
      <c r="Z2" s="34"/>
      <c r="AA2" s="23"/>
      <c r="AB2" s="35"/>
      <c r="AC2" s="16"/>
      <c r="AD2" s="23"/>
      <c r="AE2" s="23"/>
      <c r="AF2" s="23"/>
      <c r="AG2" s="23"/>
      <c r="AH2" s="23"/>
      <c r="AI2" s="23"/>
      <c r="AJ2" s="36">
        <v>49</v>
      </c>
      <c r="AK2" s="36"/>
      <c r="AL2" s="36"/>
      <c r="AM2" s="27"/>
      <c r="AN2" s="36"/>
      <c r="AO2" s="36"/>
      <c r="AP2" s="23"/>
      <c r="AQ2" s="23"/>
      <c r="AR2" s="23"/>
      <c r="AS2" s="23"/>
      <c r="AT2" s="23"/>
      <c r="AU2" s="23"/>
    </row>
    <row r="3" spans="1:47" ht="78" x14ac:dyDescent="0.3">
      <c r="A3" s="14" t="s">
        <v>230</v>
      </c>
      <c r="B3" s="15" t="s">
        <v>237</v>
      </c>
      <c r="C3" s="17" t="s">
        <v>238</v>
      </c>
      <c r="D3" s="17"/>
      <c r="E3" s="24" t="s">
        <v>67</v>
      </c>
      <c r="F3" s="32">
        <v>2022</v>
      </c>
      <c r="G3" s="19">
        <v>44825</v>
      </c>
      <c r="H3" s="39">
        <v>0</v>
      </c>
      <c r="I3" s="40" t="s">
        <v>47</v>
      </c>
      <c r="J3" s="41">
        <v>0</v>
      </c>
      <c r="K3" s="39">
        <v>0</v>
      </c>
      <c r="L3" s="42" t="s">
        <v>47</v>
      </c>
      <c r="M3" s="43">
        <v>0</v>
      </c>
      <c r="N3" s="43">
        <v>0</v>
      </c>
      <c r="O3" s="23"/>
      <c r="P3" s="23"/>
      <c r="Q3" s="23"/>
      <c r="R3" s="59" t="s">
        <v>239</v>
      </c>
      <c r="S3" s="59"/>
      <c r="T3" s="23"/>
      <c r="U3" s="16">
        <v>37</v>
      </c>
      <c r="V3" s="34"/>
      <c r="W3" s="23"/>
      <c r="X3" s="23" t="s">
        <v>240</v>
      </c>
      <c r="Y3" s="23" t="s">
        <v>218</v>
      </c>
      <c r="Z3" s="34"/>
      <c r="AA3" s="23"/>
      <c r="AB3" s="35"/>
      <c r="AC3" s="16"/>
      <c r="AD3" s="23"/>
      <c r="AE3" s="23"/>
      <c r="AF3" s="23"/>
      <c r="AG3" s="23"/>
      <c r="AH3" s="23"/>
      <c r="AI3" s="23"/>
      <c r="AJ3" s="36">
        <v>49</v>
      </c>
      <c r="AK3" s="36"/>
      <c r="AL3" s="36"/>
      <c r="AM3" s="27"/>
      <c r="AN3" s="36"/>
      <c r="AO3" s="36"/>
      <c r="AP3" s="23"/>
      <c r="AQ3" s="23"/>
      <c r="AR3" s="23"/>
      <c r="AS3" s="23"/>
      <c r="AT3" s="23"/>
      <c r="AU3" s="23"/>
    </row>
    <row r="4" spans="1:47" ht="78" x14ac:dyDescent="0.3">
      <c r="A4" s="14" t="s">
        <v>230</v>
      </c>
      <c r="B4" s="15" t="s">
        <v>241</v>
      </c>
      <c r="C4" s="17" t="s">
        <v>242</v>
      </c>
      <c r="D4" s="17"/>
      <c r="E4" s="24" t="s">
        <v>103</v>
      </c>
      <c r="F4" s="32"/>
      <c r="G4" s="19"/>
      <c r="H4" s="14"/>
      <c r="I4" s="14"/>
      <c r="J4" s="14"/>
      <c r="K4" s="14"/>
      <c r="L4" s="22"/>
      <c r="M4" s="22"/>
      <c r="N4" s="22"/>
      <c r="O4" s="23"/>
      <c r="P4" s="23"/>
      <c r="Q4" s="23"/>
      <c r="R4" s="24"/>
      <c r="S4" s="59"/>
      <c r="T4" s="23"/>
      <c r="U4" s="16">
        <v>18</v>
      </c>
      <c r="V4" s="34" t="s">
        <v>243</v>
      </c>
      <c r="W4" s="23">
        <v>18400</v>
      </c>
      <c r="X4" s="23" t="s">
        <v>244</v>
      </c>
      <c r="Y4" s="23" t="s">
        <v>218</v>
      </c>
      <c r="Z4" s="34"/>
      <c r="AA4" s="23"/>
      <c r="AB4" s="35"/>
      <c r="AC4" s="16"/>
      <c r="AD4" s="23"/>
      <c r="AE4" s="23"/>
      <c r="AF4" s="23"/>
      <c r="AG4" s="23"/>
      <c r="AH4" s="23"/>
      <c r="AI4" s="23"/>
      <c r="AJ4" s="36">
        <v>49</v>
      </c>
      <c r="AK4" s="36"/>
      <c r="AL4" s="36"/>
      <c r="AM4" s="27"/>
      <c r="AN4" s="36"/>
      <c r="AO4" s="36"/>
      <c r="AP4" s="23"/>
      <c r="AQ4" s="23"/>
      <c r="AR4" s="23"/>
      <c r="AS4" s="23"/>
      <c r="AT4" s="23"/>
      <c r="AU4" s="23"/>
    </row>
    <row r="5" spans="1:47" ht="62.4" x14ac:dyDescent="0.3">
      <c r="A5" s="14" t="s">
        <v>230</v>
      </c>
      <c r="B5" s="15" t="s">
        <v>245</v>
      </c>
      <c r="C5" s="17" t="s">
        <v>246</v>
      </c>
      <c r="D5" s="17"/>
      <c r="E5" s="24" t="s">
        <v>67</v>
      </c>
      <c r="F5" s="18">
        <v>2025</v>
      </c>
      <c r="G5" s="19">
        <v>45859</v>
      </c>
      <c r="H5" s="39">
        <v>0</v>
      </c>
      <c r="I5" s="40" t="s">
        <v>47</v>
      </c>
      <c r="J5" s="41">
        <v>0</v>
      </c>
      <c r="K5" s="39">
        <v>0</v>
      </c>
      <c r="L5" s="42" t="s">
        <v>47</v>
      </c>
      <c r="M5" s="43">
        <v>0</v>
      </c>
      <c r="N5" s="43">
        <v>0</v>
      </c>
      <c r="O5" s="23" t="s">
        <v>170</v>
      </c>
      <c r="P5" s="23" t="s">
        <v>247</v>
      </c>
      <c r="Q5" s="23"/>
      <c r="R5" s="24" t="s">
        <v>248</v>
      </c>
      <c r="S5" s="24"/>
      <c r="T5" s="23"/>
      <c r="U5" s="16">
        <v>62</v>
      </c>
      <c r="V5" s="34" t="s">
        <v>249</v>
      </c>
      <c r="W5" s="23">
        <v>62480</v>
      </c>
      <c r="X5" s="23" t="s">
        <v>250</v>
      </c>
      <c r="Y5" s="23" t="s">
        <v>251</v>
      </c>
      <c r="Z5" s="34" t="s">
        <v>252</v>
      </c>
      <c r="AA5" s="23" t="s">
        <v>253</v>
      </c>
      <c r="AB5" s="35" t="s">
        <v>254</v>
      </c>
      <c r="AC5" s="16" t="s">
        <v>255</v>
      </c>
      <c r="AD5" s="23"/>
      <c r="AE5" s="23"/>
      <c r="AF5" s="23"/>
      <c r="AG5" s="23"/>
      <c r="AH5" s="23"/>
      <c r="AI5" s="23"/>
      <c r="AJ5" s="36">
        <v>49</v>
      </c>
      <c r="AK5" s="36"/>
      <c r="AL5" s="36"/>
      <c r="AM5" s="27"/>
      <c r="AN5" s="36"/>
      <c r="AO5" s="36"/>
      <c r="AP5" s="23"/>
      <c r="AQ5" s="23"/>
      <c r="AR5" s="23"/>
      <c r="AS5" s="23"/>
      <c r="AT5" s="23"/>
      <c r="AU5" s="23"/>
    </row>
    <row r="6" spans="1:47" ht="62.4" x14ac:dyDescent="0.3">
      <c r="A6" s="60" t="s">
        <v>230</v>
      </c>
      <c r="B6" s="15" t="s">
        <v>256</v>
      </c>
      <c r="C6" s="17" t="s">
        <v>257</v>
      </c>
      <c r="D6" s="17"/>
      <c r="E6" s="61" t="s">
        <v>67</v>
      </c>
      <c r="F6" s="18">
        <v>2025</v>
      </c>
      <c r="G6" s="62">
        <v>45772</v>
      </c>
      <c r="H6" s="39">
        <v>0</v>
      </c>
      <c r="I6" s="40" t="s">
        <v>47</v>
      </c>
      <c r="J6" s="41">
        <v>0</v>
      </c>
      <c r="K6" s="39">
        <v>0</v>
      </c>
      <c r="L6" s="42" t="s">
        <v>47</v>
      </c>
      <c r="M6" s="43">
        <v>0</v>
      </c>
      <c r="N6" s="43">
        <v>0</v>
      </c>
      <c r="O6" s="23" t="s">
        <v>170</v>
      </c>
      <c r="P6" s="34"/>
      <c r="Q6" s="34"/>
      <c r="R6" s="24" t="s">
        <v>258</v>
      </c>
      <c r="S6" s="24"/>
      <c r="T6" s="23"/>
      <c r="U6" s="34">
        <v>14</v>
      </c>
      <c r="V6" s="34" t="s">
        <v>259</v>
      </c>
      <c r="W6" s="34">
        <v>14100</v>
      </c>
      <c r="X6" s="34" t="s">
        <v>260</v>
      </c>
      <c r="Y6" s="17" t="s">
        <v>261</v>
      </c>
      <c r="Z6" s="34" t="s">
        <v>262</v>
      </c>
      <c r="AA6" s="17" t="s">
        <v>263</v>
      </c>
      <c r="AB6" s="35" t="s">
        <v>264</v>
      </c>
      <c r="AC6" s="17" t="s">
        <v>265</v>
      </c>
      <c r="AD6" s="34"/>
      <c r="AE6" s="34"/>
      <c r="AF6" s="34"/>
      <c r="AG6" s="34"/>
      <c r="AH6" s="34"/>
      <c r="AI6" s="34"/>
      <c r="AJ6" s="63"/>
      <c r="AK6" s="63"/>
      <c r="AL6" s="63"/>
      <c r="AM6" s="63"/>
      <c r="AN6" s="63"/>
      <c r="AO6" s="63"/>
      <c r="AP6" s="34"/>
      <c r="AQ6" s="34"/>
      <c r="AR6" s="34"/>
      <c r="AS6" s="34"/>
      <c r="AT6" s="34"/>
      <c r="AU6" s="34"/>
    </row>
    <row r="7" spans="1:47" ht="124.8" x14ac:dyDescent="0.3">
      <c r="A7" s="14" t="s">
        <v>230</v>
      </c>
      <c r="B7" s="15" t="s">
        <v>266</v>
      </c>
      <c r="C7" s="17" t="s">
        <v>267</v>
      </c>
      <c r="D7" s="17">
        <v>15</v>
      </c>
      <c r="E7" s="24" t="s">
        <v>46</v>
      </c>
      <c r="F7" s="18">
        <v>2026</v>
      </c>
      <c r="G7" s="19">
        <v>46072</v>
      </c>
      <c r="H7" s="39">
        <v>0</v>
      </c>
      <c r="I7" s="40" t="s">
        <v>47</v>
      </c>
      <c r="J7" s="41">
        <v>0</v>
      </c>
      <c r="K7" s="39">
        <v>0</v>
      </c>
      <c r="L7" s="42" t="s">
        <v>47</v>
      </c>
      <c r="M7" s="43">
        <v>0</v>
      </c>
      <c r="N7" s="43">
        <v>0</v>
      </c>
      <c r="O7" s="23" t="s">
        <v>170</v>
      </c>
      <c r="P7" s="34"/>
      <c r="Q7" s="23"/>
      <c r="R7" s="24" t="s">
        <v>268</v>
      </c>
      <c r="S7" s="24"/>
      <c r="T7" s="23"/>
      <c r="U7" s="34">
        <v>41</v>
      </c>
      <c r="V7" s="34"/>
      <c r="W7" s="23">
        <v>41200</v>
      </c>
      <c r="X7" s="23" t="s">
        <v>269</v>
      </c>
      <c r="Y7" s="16" t="s">
        <v>270</v>
      </c>
      <c r="Z7" s="34" t="s">
        <v>271</v>
      </c>
      <c r="AA7" s="23" t="s">
        <v>272</v>
      </c>
      <c r="AB7" s="35" t="s">
        <v>273</v>
      </c>
      <c r="AC7" s="16" t="s">
        <v>274</v>
      </c>
      <c r="AD7" s="23"/>
      <c r="AE7" s="23"/>
      <c r="AF7" s="23"/>
      <c r="AG7" s="23"/>
      <c r="AH7" s="23"/>
      <c r="AI7" s="23"/>
      <c r="AJ7" s="36"/>
      <c r="AK7" s="36"/>
      <c r="AL7" s="36"/>
      <c r="AM7" s="36"/>
      <c r="AN7" s="36"/>
      <c r="AO7" s="36"/>
      <c r="AP7" s="23"/>
      <c r="AQ7" s="23"/>
      <c r="AR7" s="23"/>
      <c r="AS7" s="23"/>
      <c r="AT7" s="23"/>
      <c r="AU7" s="23"/>
    </row>
    <row r="8" spans="1:47" ht="78" x14ac:dyDescent="0.3">
      <c r="A8" s="14" t="s">
        <v>230</v>
      </c>
      <c r="B8" s="15" t="s">
        <v>275</v>
      </c>
      <c r="C8" s="17" t="s">
        <v>276</v>
      </c>
      <c r="D8" s="17"/>
      <c r="E8" s="24" t="s">
        <v>67</v>
      </c>
      <c r="F8" s="18">
        <v>2021</v>
      </c>
      <c r="G8" s="19">
        <v>44445</v>
      </c>
      <c r="H8" s="39">
        <v>0</v>
      </c>
      <c r="I8" s="40" t="s">
        <v>47</v>
      </c>
      <c r="J8" s="41">
        <v>0</v>
      </c>
      <c r="K8" s="39">
        <v>0</v>
      </c>
      <c r="L8" s="42" t="s">
        <v>47</v>
      </c>
      <c r="M8" s="43">
        <v>0</v>
      </c>
      <c r="N8" s="43">
        <v>0</v>
      </c>
      <c r="O8" s="23"/>
      <c r="P8" s="23"/>
      <c r="Q8" s="23"/>
      <c r="R8" s="24"/>
      <c r="S8" s="59"/>
      <c r="T8" s="23"/>
      <c r="U8" s="16">
        <v>59</v>
      </c>
      <c r="V8" s="34" t="s">
        <v>277</v>
      </c>
      <c r="W8" s="23">
        <v>59147</v>
      </c>
      <c r="X8" s="23" t="s">
        <v>278</v>
      </c>
      <c r="Y8" s="23" t="s">
        <v>218</v>
      </c>
      <c r="Z8" s="34"/>
      <c r="AA8" s="23"/>
      <c r="AB8" s="35"/>
      <c r="AC8" s="16"/>
      <c r="AD8" s="23"/>
      <c r="AE8" s="23"/>
      <c r="AF8" s="23"/>
      <c r="AG8" s="23"/>
      <c r="AH8" s="23"/>
      <c r="AI8" s="23"/>
      <c r="AJ8" s="36">
        <v>49</v>
      </c>
      <c r="AK8" s="36"/>
      <c r="AL8" s="36"/>
      <c r="AM8" s="27"/>
      <c r="AN8" s="36"/>
      <c r="AO8" s="36"/>
      <c r="AP8" s="23"/>
      <c r="AQ8" s="23"/>
      <c r="AR8" s="23"/>
      <c r="AS8" s="23"/>
      <c r="AT8" s="23"/>
      <c r="AU8" s="23"/>
    </row>
    <row r="9" spans="1:47" ht="31.2" x14ac:dyDescent="0.3">
      <c r="A9" s="14" t="s">
        <v>230</v>
      </c>
      <c r="B9" s="15" t="s">
        <v>279</v>
      </c>
      <c r="C9" s="17" t="s">
        <v>280</v>
      </c>
      <c r="D9" s="17"/>
      <c r="E9" s="24" t="s">
        <v>67</v>
      </c>
      <c r="F9" s="18">
        <v>2021</v>
      </c>
      <c r="G9" s="19">
        <v>44553</v>
      </c>
      <c r="H9" s="39">
        <v>0</v>
      </c>
      <c r="I9" s="40" t="s">
        <v>47</v>
      </c>
      <c r="J9" s="41">
        <v>0</v>
      </c>
      <c r="K9" s="39">
        <v>0</v>
      </c>
      <c r="L9" s="42" t="s">
        <v>47</v>
      </c>
      <c r="M9" s="43">
        <v>0</v>
      </c>
      <c r="N9" s="43">
        <v>0</v>
      </c>
      <c r="O9" s="23" t="s">
        <v>68</v>
      </c>
      <c r="P9" s="23" t="s">
        <v>281</v>
      </c>
      <c r="Q9" s="23"/>
      <c r="R9" s="24"/>
      <c r="S9" s="59"/>
      <c r="T9" s="23"/>
      <c r="U9" s="16">
        <v>14</v>
      </c>
      <c r="V9" s="34"/>
      <c r="W9" s="23">
        <v>14100</v>
      </c>
      <c r="X9" s="23" t="s">
        <v>282</v>
      </c>
      <c r="Y9" s="23" t="s">
        <v>218</v>
      </c>
      <c r="Z9" s="34"/>
      <c r="AA9" s="23"/>
      <c r="AB9" s="35"/>
      <c r="AC9" s="16"/>
      <c r="AD9" s="23"/>
      <c r="AE9" s="23"/>
      <c r="AF9" s="23"/>
      <c r="AG9" s="23"/>
      <c r="AH9" s="23"/>
      <c r="AI9" s="23"/>
      <c r="AJ9" s="36">
        <v>49</v>
      </c>
      <c r="AK9" s="36"/>
      <c r="AL9" s="36"/>
      <c r="AM9" s="27"/>
      <c r="AN9" s="36"/>
      <c r="AO9" s="36"/>
      <c r="AP9" s="23"/>
      <c r="AQ9" s="23"/>
      <c r="AR9" s="23"/>
      <c r="AS9" s="23"/>
      <c r="AT9" s="23"/>
      <c r="AU9" s="23"/>
    </row>
    <row r="10" spans="1:47" ht="62.4" x14ac:dyDescent="0.3">
      <c r="A10" s="44" t="s">
        <v>230</v>
      </c>
      <c r="B10" s="15" t="s">
        <v>283</v>
      </c>
      <c r="C10" s="17"/>
      <c r="D10" s="17"/>
      <c r="E10" s="24" t="s">
        <v>150</v>
      </c>
      <c r="F10" s="29"/>
      <c r="G10" s="19"/>
      <c r="H10" s="44"/>
      <c r="I10" s="44"/>
      <c r="J10" s="44"/>
      <c r="K10" s="44"/>
      <c r="L10" s="45"/>
      <c r="M10" s="45"/>
      <c r="N10" s="45"/>
      <c r="O10" s="16"/>
      <c r="P10" s="16" t="s">
        <v>151</v>
      </c>
      <c r="Q10" s="16"/>
      <c r="R10" s="24" t="s">
        <v>258</v>
      </c>
      <c r="S10" s="24"/>
      <c r="T10" s="16"/>
      <c r="U10" s="16">
        <v>14</v>
      </c>
      <c r="V10" s="17"/>
      <c r="W10" s="16">
        <v>14850</v>
      </c>
      <c r="X10" s="16" t="s">
        <v>284</v>
      </c>
      <c r="Y10" s="16" t="s">
        <v>285</v>
      </c>
      <c r="Z10" s="17" t="s">
        <v>286</v>
      </c>
      <c r="AA10" s="16"/>
      <c r="AB10" s="35" t="s">
        <v>287</v>
      </c>
      <c r="AC10" s="16" t="s">
        <v>288</v>
      </c>
      <c r="AD10" s="16"/>
      <c r="AE10" s="16"/>
      <c r="AF10" s="16"/>
      <c r="AG10" s="16"/>
      <c r="AH10" s="16"/>
      <c r="AI10" s="16"/>
      <c r="AJ10" s="27"/>
      <c r="AK10" s="27"/>
      <c r="AL10" s="27"/>
      <c r="AM10" s="27"/>
      <c r="AN10" s="27"/>
      <c r="AO10" s="27"/>
      <c r="AP10" s="16"/>
      <c r="AQ10" s="16"/>
      <c r="AR10" s="16"/>
      <c r="AS10" s="16"/>
      <c r="AT10" s="16"/>
      <c r="AU10" s="16"/>
    </row>
  </sheetData>
  <dataValidations count="5">
    <dataValidation type="list" allowBlank="1" showErrorMessage="1" sqref="A2:A10" xr:uid="{CBA13407-E7AB-4E0A-A9DC-136A0680BE24}">
      <formula1>"AOPIA,LIKEFORMATION ,CONTACTYS,LFS"</formula1>
    </dataValidation>
    <dataValidation type="list" allowBlank="1" showErrorMessage="1" sqref="P2:P10" xr:uid="{C40EA9B1-DE1C-442B-8E7B-F81C2071A720}">
      <formula1>"Salon CSE Bordeaux 2025,Contactys 2024,Boutique LEX14,Parrainage 300 €,SDO62,MGE37,ORDIFORMA 62,CDI79,EBS41,FGTE,Prospection,Perso,Démarchage,Opportunité commerciale,Prospection Directe,recommandation,Salon CSE Nantes 2025,Salon CSE Bordeaux 2024,Salon Na"&amp;"ncy 2024,Réseau CFDT,Salon CSE,Réseau PRO,Réseau UNSA,UNSA transport,Parrainage,Contactys 2023,Salon Metz 2025,Salon CSE La Rochelle 2025,Click Droit Informatique 79,Salon CSE Poitiers 2025,Salon CSE Metz 2026,Salon CSE Rennes 2026,Salon CSE Tours 2026"</formula1>
    </dataValidation>
    <dataValidation type="list" allowBlank="1" showErrorMessage="1" sqref="O2:O9" xr:uid="{AF53FE58-2BB4-4062-970F-DAEE02871C9E}">
      <formula1>"CSE,Associations,Partenariats annulés,Syndicats,Entreprise"</formula1>
    </dataValidation>
    <dataValidation type="list" allowBlank="1" showErrorMessage="1" sqref="R2 R4:R10" xr:uid="{B7839A13-C234-4326-878D-91A5BB5B9F53}">
      <formula1>" LEX014 ,AGUIAR Wilfrid,BENOIT Gwladys,BERNIER Séverine,BIARDOUX Bruno,BIRÉ Aurélie,BLIN Mélinda,BOUCHER Anthony,BOURREL Sandrine,BOUTIN Séverine,BRAULT Victor,BRETON Martin,BROSSARD Danila,CDI79 ,CHEVARIN Alain,CUBAUD Valérie,DELABI Cédric,DELATTRE Hervé"&amp;",DERUELLE Christophe,DPC49 ,DURAT Maxence,EBS41 ,EIM01 ,FAURY Béatrice,FLOREK  Alexandre,FPC72 ,GAILLARD Nathalie,GAUVILLE Ghislaine,GRUAUD Sandrine,HÉRAULT Véronique,HUARD Christophe,HUBERT Philippe ,ITS62 ,JACQUART Marie-Hélène,JLB49 ,LANDAIS Arnaud,LE "&amp;"PEVEDIC Karine,LEDOUX Justine,LEX14 ,MINEAU Isabelle,PCI48 ,PINO CORTES Franck,SALGUIERO Elisabeth,SINAMO Samuel,THIBAUD Francis ,TOIX Laure,VERGNE Thierry,WEISSENBACHER Fabien,COLIN Sophie,PERROT Francis,PHILIPPEAU Olivier,BOUCHER Anthony,ADV"</formula1>
    </dataValidation>
    <dataValidation type="list" allowBlank="1" showErrorMessage="1" sqref="E2:E10" xr:uid="{2BF43238-B1BD-40F6-8F96-17BF82970CE9}">
      <formula1>"En cours,En prospect,Refus,Reprise de contact,Signée,Signée sans convention,Pas d'intérêt,stop,signée/stop,À prospecter ,en cours de signature,Stand by ,Signé nouveau process"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5BDFB-F780-4B39-A6A2-0A149DD213C4}">
  <dimension ref="A1:BH5"/>
  <sheetViews>
    <sheetView workbookViewId="0">
      <selection sqref="A1:XFD1048576"/>
    </sheetView>
  </sheetViews>
  <sheetFormatPr baseColWidth="10" defaultColWidth="12.6640625" defaultRowHeight="14.4" x14ac:dyDescent="0.3"/>
  <cols>
    <col min="1" max="1" width="12.21875" customWidth="1"/>
    <col min="2" max="2" width="28.33203125" customWidth="1"/>
    <col min="3" max="3" width="36.88671875" customWidth="1"/>
    <col min="4" max="4" width="10.88671875" customWidth="1"/>
    <col min="5" max="5" width="17.44140625" customWidth="1"/>
    <col min="6" max="6" width="10.21875" customWidth="1"/>
    <col min="8" max="15" width="14.44140625" customWidth="1"/>
    <col min="16" max="16" width="29.44140625" customWidth="1"/>
    <col min="17" max="17" width="21.21875" customWidth="1"/>
    <col min="18" max="19" width="26.33203125" customWidth="1"/>
    <col min="22" max="22" width="26.77734375" customWidth="1"/>
    <col min="24" max="24" width="28.33203125" customWidth="1"/>
    <col min="25" max="25" width="22.21875" customWidth="1"/>
    <col min="27" max="27" width="21" customWidth="1"/>
    <col min="28" max="28" width="42.33203125" customWidth="1"/>
    <col min="29" max="29" width="26.44140625" customWidth="1"/>
    <col min="30" max="30" width="17.33203125" customWidth="1"/>
    <col min="33" max="33" width="14.6640625" customWidth="1"/>
    <col min="37" max="37" width="9.77734375" customWidth="1"/>
    <col min="38" max="38" width="9.109375" customWidth="1"/>
    <col min="39" max="39" width="12.21875" customWidth="1"/>
    <col min="42" max="42" width="44.109375" customWidth="1"/>
    <col min="43" max="43" width="55" customWidth="1"/>
  </cols>
  <sheetData>
    <row r="1" spans="1:60" ht="62.4" x14ac:dyDescent="0.3">
      <c r="A1" s="46" t="s">
        <v>0</v>
      </c>
      <c r="B1" s="47" t="s">
        <v>1</v>
      </c>
      <c r="C1" s="46" t="s">
        <v>2</v>
      </c>
      <c r="D1" s="46" t="s">
        <v>3</v>
      </c>
      <c r="E1" s="46" t="s">
        <v>4</v>
      </c>
      <c r="F1" s="48" t="s">
        <v>5</v>
      </c>
      <c r="G1" s="48" t="s">
        <v>6</v>
      </c>
      <c r="H1" s="5" t="s">
        <v>7</v>
      </c>
      <c r="I1" s="6" t="s">
        <v>8</v>
      </c>
      <c r="J1" s="5" t="s">
        <v>9</v>
      </c>
      <c r="K1" s="5" t="s">
        <v>10</v>
      </c>
      <c r="L1" s="6" t="s">
        <v>11</v>
      </c>
      <c r="M1" s="5" t="s">
        <v>12</v>
      </c>
      <c r="N1" s="5" t="s">
        <v>13</v>
      </c>
      <c r="O1" s="46" t="s">
        <v>14</v>
      </c>
      <c r="P1" s="46" t="s">
        <v>15</v>
      </c>
      <c r="Q1" s="46" t="s">
        <v>16</v>
      </c>
      <c r="R1" s="49" t="s">
        <v>17</v>
      </c>
      <c r="S1" s="49" t="s">
        <v>18</v>
      </c>
      <c r="T1" s="46" t="s">
        <v>19</v>
      </c>
      <c r="U1" s="50" t="s">
        <v>20</v>
      </c>
      <c r="V1" s="46" t="s">
        <v>21</v>
      </c>
      <c r="W1" s="46" t="s">
        <v>22</v>
      </c>
      <c r="X1" s="46" t="s">
        <v>23</v>
      </c>
      <c r="Y1" s="46" t="s">
        <v>24</v>
      </c>
      <c r="Z1" s="46" t="s">
        <v>25</v>
      </c>
      <c r="AA1" s="46" t="s">
        <v>26</v>
      </c>
      <c r="AB1" s="49" t="s">
        <v>27</v>
      </c>
      <c r="AC1" s="46" t="s">
        <v>28</v>
      </c>
      <c r="AD1" s="46" t="s">
        <v>29</v>
      </c>
      <c r="AE1" s="46" t="s">
        <v>30</v>
      </c>
      <c r="AF1" s="46" t="s">
        <v>31</v>
      </c>
      <c r="AG1" s="46" t="s">
        <v>32</v>
      </c>
      <c r="AH1" s="51" t="s">
        <v>33</v>
      </c>
      <c r="AI1" s="51" t="s">
        <v>34</v>
      </c>
      <c r="AJ1" s="52" t="s">
        <v>35</v>
      </c>
      <c r="AK1" s="52" t="s">
        <v>36</v>
      </c>
      <c r="AL1" s="52" t="s">
        <v>37</v>
      </c>
      <c r="AM1" s="52" t="s">
        <v>38</v>
      </c>
      <c r="AN1" s="52" t="s">
        <v>39</v>
      </c>
      <c r="AO1" s="52" t="s">
        <v>40</v>
      </c>
      <c r="AP1" s="53" t="s">
        <v>41</v>
      </c>
      <c r="AQ1" s="12" t="s">
        <v>42</v>
      </c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</row>
    <row r="2" spans="1:60" ht="15.6" x14ac:dyDescent="0.3">
      <c r="A2" s="44" t="s">
        <v>43</v>
      </c>
      <c r="B2" s="15" t="s">
        <v>289</v>
      </c>
      <c r="C2" s="16" t="s">
        <v>290</v>
      </c>
      <c r="D2" s="17">
        <v>1860</v>
      </c>
      <c r="E2" s="16" t="s">
        <v>291</v>
      </c>
      <c r="F2" s="18">
        <v>2026</v>
      </c>
      <c r="G2" s="33">
        <v>46051</v>
      </c>
      <c r="H2" s="14">
        <v>0</v>
      </c>
      <c r="I2" s="20" t="s">
        <v>47</v>
      </c>
      <c r="J2" s="14">
        <v>0</v>
      </c>
      <c r="K2" s="14">
        <v>0</v>
      </c>
      <c r="L2" s="21" t="s">
        <v>47</v>
      </c>
      <c r="M2" s="22">
        <v>0</v>
      </c>
      <c r="N2" s="22">
        <v>0</v>
      </c>
      <c r="O2" s="16" t="s">
        <v>68</v>
      </c>
      <c r="P2" s="16"/>
      <c r="Q2" s="16"/>
      <c r="R2" s="24" t="s">
        <v>292</v>
      </c>
      <c r="S2" s="24"/>
      <c r="T2" s="23"/>
      <c r="U2" s="16">
        <v>62</v>
      </c>
      <c r="V2" s="16" t="s">
        <v>293</v>
      </c>
      <c r="W2" s="16">
        <v>62904</v>
      </c>
      <c r="X2" s="16" t="s">
        <v>294</v>
      </c>
      <c r="Y2" s="16" t="s">
        <v>295</v>
      </c>
      <c r="Z2" s="16" t="s">
        <v>296</v>
      </c>
      <c r="AA2" s="16" t="s">
        <v>297</v>
      </c>
      <c r="AB2" s="16" t="s">
        <v>298</v>
      </c>
      <c r="AC2" s="16" t="s">
        <v>299</v>
      </c>
      <c r="AD2" s="16"/>
      <c r="AE2" s="16"/>
      <c r="AF2" s="16"/>
      <c r="AG2" s="16"/>
      <c r="AH2" s="16"/>
      <c r="AI2" s="16"/>
      <c r="AJ2" s="16"/>
      <c r="AK2" s="27"/>
      <c r="AL2" s="27"/>
      <c r="AM2" s="27"/>
      <c r="AN2" s="27"/>
      <c r="AO2" s="27"/>
      <c r="AP2" s="27"/>
      <c r="AQ2" s="16"/>
      <c r="AR2" s="28"/>
      <c r="AS2" s="28"/>
      <c r="AT2" s="28"/>
      <c r="AU2" s="28"/>
      <c r="AV2" s="28"/>
      <c r="AW2" s="28"/>
      <c r="AX2" s="28"/>
      <c r="AY2" s="28"/>
      <c r="AZ2" s="28"/>
      <c r="BA2" s="28"/>
      <c r="BB2" s="28"/>
      <c r="BC2" s="28"/>
      <c r="BD2" s="28"/>
      <c r="BE2" s="28"/>
      <c r="BF2" s="28"/>
      <c r="BG2" s="28"/>
      <c r="BH2" s="28"/>
    </row>
    <row r="3" spans="1:60" ht="46.8" x14ac:dyDescent="0.3">
      <c r="A3" s="14" t="s">
        <v>43</v>
      </c>
      <c r="B3" s="15" t="s">
        <v>300</v>
      </c>
      <c r="C3" s="17" t="s">
        <v>301</v>
      </c>
      <c r="D3" s="17"/>
      <c r="E3" s="24" t="s">
        <v>67</v>
      </c>
      <c r="F3" s="18">
        <v>2025</v>
      </c>
      <c r="G3" s="19">
        <v>45783</v>
      </c>
      <c r="H3" s="14">
        <v>10</v>
      </c>
      <c r="I3" s="20">
        <v>46148</v>
      </c>
      <c r="J3" s="14">
        <v>9</v>
      </c>
      <c r="K3" s="14">
        <v>1</v>
      </c>
      <c r="L3" s="21">
        <v>46142</v>
      </c>
      <c r="M3" s="22">
        <v>1</v>
      </c>
      <c r="N3" s="22">
        <v>8</v>
      </c>
      <c r="O3" s="23" t="s">
        <v>68</v>
      </c>
      <c r="P3" s="23"/>
      <c r="Q3" s="16"/>
      <c r="R3" s="24" t="s">
        <v>292</v>
      </c>
      <c r="S3" s="24"/>
      <c r="T3" s="23"/>
      <c r="U3" s="16">
        <v>62</v>
      </c>
      <c r="V3" s="17" t="s">
        <v>302</v>
      </c>
      <c r="W3" s="16">
        <v>62280</v>
      </c>
      <c r="X3" s="16" t="s">
        <v>303</v>
      </c>
      <c r="Y3" s="16" t="s">
        <v>304</v>
      </c>
      <c r="Z3" s="17" t="s">
        <v>305</v>
      </c>
      <c r="AA3" s="23" t="s">
        <v>55</v>
      </c>
      <c r="AB3" s="35" t="s">
        <v>306</v>
      </c>
      <c r="AC3" s="16" t="s">
        <v>307</v>
      </c>
      <c r="AD3" s="16"/>
      <c r="AE3" s="16"/>
      <c r="AF3" s="16"/>
      <c r="AG3" s="16"/>
      <c r="AH3" s="16"/>
      <c r="AI3" s="16"/>
      <c r="AJ3" s="27"/>
      <c r="AK3" s="27"/>
      <c r="AL3" s="27"/>
      <c r="AM3" s="27"/>
      <c r="AN3" s="27"/>
      <c r="AO3" s="27"/>
      <c r="AP3" s="16"/>
      <c r="AQ3" s="16"/>
      <c r="AR3" s="28"/>
      <c r="AS3" s="28"/>
      <c r="AT3" s="28"/>
      <c r="AU3" s="28"/>
      <c r="AV3" s="28"/>
      <c r="AW3" s="28"/>
      <c r="AX3" s="28"/>
      <c r="AY3" s="28"/>
      <c r="AZ3" s="28"/>
      <c r="BA3" s="28"/>
      <c r="BB3" s="28"/>
      <c r="BC3" s="28"/>
      <c r="BD3" s="28"/>
      <c r="BE3" s="28"/>
      <c r="BF3" s="28"/>
      <c r="BG3" s="28"/>
      <c r="BH3" s="28"/>
    </row>
    <row r="4" spans="1:60" ht="31.2" x14ac:dyDescent="0.3">
      <c r="A4" s="14" t="s">
        <v>43</v>
      </c>
      <c r="B4" s="15" t="s">
        <v>308</v>
      </c>
      <c r="C4" s="17" t="s">
        <v>309</v>
      </c>
      <c r="D4" s="17">
        <v>120</v>
      </c>
      <c r="E4" s="24" t="s">
        <v>67</v>
      </c>
      <c r="F4" s="18">
        <v>2025</v>
      </c>
      <c r="G4" s="33">
        <v>45687</v>
      </c>
      <c r="H4" s="14">
        <v>8</v>
      </c>
      <c r="I4" s="20">
        <v>46076</v>
      </c>
      <c r="J4" s="14">
        <v>4</v>
      </c>
      <c r="K4" s="14">
        <v>4</v>
      </c>
      <c r="L4" s="21">
        <v>46008</v>
      </c>
      <c r="M4" s="22">
        <v>9</v>
      </c>
      <c r="N4" s="22">
        <v>0</v>
      </c>
      <c r="O4" s="23" t="s">
        <v>68</v>
      </c>
      <c r="P4" s="23"/>
      <c r="Q4" s="23"/>
      <c r="R4" s="24" t="s">
        <v>292</v>
      </c>
      <c r="S4" s="24"/>
      <c r="T4" s="23" t="s">
        <v>50</v>
      </c>
      <c r="U4" s="23">
        <v>62</v>
      </c>
      <c r="V4" s="17" t="s">
        <v>310</v>
      </c>
      <c r="W4" s="16">
        <v>62100</v>
      </c>
      <c r="X4" s="16" t="s">
        <v>311</v>
      </c>
      <c r="Y4" s="23" t="s">
        <v>312</v>
      </c>
      <c r="Z4" s="34" t="s">
        <v>313</v>
      </c>
      <c r="AA4" s="55" t="s">
        <v>314</v>
      </c>
      <c r="AB4" s="64" t="s">
        <v>315</v>
      </c>
      <c r="AC4" s="16" t="s">
        <v>316</v>
      </c>
      <c r="AD4" s="65"/>
      <c r="AE4" s="23"/>
      <c r="AF4" s="23"/>
      <c r="AG4" s="16" t="s">
        <v>78</v>
      </c>
      <c r="AH4" s="16" t="s">
        <v>79</v>
      </c>
      <c r="AI4" s="23" t="s">
        <v>317</v>
      </c>
      <c r="AJ4" s="55">
        <v>95</v>
      </c>
      <c r="AK4" s="55">
        <v>20</v>
      </c>
      <c r="AL4" s="55">
        <f>AJ4-AK4</f>
        <v>75</v>
      </c>
      <c r="AM4" s="55">
        <v>0</v>
      </c>
      <c r="AN4" s="55">
        <f>AL4-AM4</f>
        <v>75</v>
      </c>
      <c r="AO4" s="55">
        <f>AN4</f>
        <v>75</v>
      </c>
      <c r="AP4" s="23"/>
      <c r="AQ4" s="23"/>
      <c r="AR4" s="37"/>
      <c r="AS4" s="37"/>
      <c r="AT4" s="37"/>
      <c r="AU4" s="37"/>
      <c r="AV4" s="37"/>
      <c r="AW4" s="37"/>
      <c r="AX4" s="37"/>
      <c r="AY4" s="37"/>
      <c r="AZ4" s="37"/>
      <c r="BA4" s="37"/>
      <c r="BB4" s="37"/>
      <c r="BC4" s="37"/>
      <c r="BD4" s="37"/>
      <c r="BE4" s="37"/>
      <c r="BF4" s="37"/>
      <c r="BG4" s="37"/>
      <c r="BH4" s="37"/>
    </row>
    <row r="5" spans="1:60" ht="46.8" x14ac:dyDescent="0.3">
      <c r="A5" s="14" t="s">
        <v>43</v>
      </c>
      <c r="B5" s="15" t="s">
        <v>318</v>
      </c>
      <c r="C5" s="17" t="s">
        <v>319</v>
      </c>
      <c r="D5" s="17">
        <v>140</v>
      </c>
      <c r="E5" s="24" t="s">
        <v>46</v>
      </c>
      <c r="F5" s="18">
        <v>2026</v>
      </c>
      <c r="G5" s="33">
        <v>46104</v>
      </c>
      <c r="H5" s="14">
        <v>0</v>
      </c>
      <c r="I5" s="20" t="s">
        <v>47</v>
      </c>
      <c r="J5" s="14">
        <v>0</v>
      </c>
      <c r="K5" s="14">
        <v>0</v>
      </c>
      <c r="L5" s="21" t="s">
        <v>47</v>
      </c>
      <c r="M5" s="22">
        <v>0</v>
      </c>
      <c r="N5" s="22">
        <v>0</v>
      </c>
      <c r="O5" s="23" t="s">
        <v>68</v>
      </c>
      <c r="P5" s="23"/>
      <c r="Q5" s="23"/>
      <c r="R5" s="24" t="s">
        <v>292</v>
      </c>
      <c r="S5" s="24"/>
      <c r="T5" s="23" t="s">
        <v>50</v>
      </c>
      <c r="U5" s="66">
        <v>59</v>
      </c>
      <c r="V5" s="34" t="s">
        <v>320</v>
      </c>
      <c r="W5" s="23">
        <v>59760</v>
      </c>
      <c r="X5" s="66" t="s">
        <v>321</v>
      </c>
      <c r="Y5" s="28" t="s">
        <v>322</v>
      </c>
      <c r="Z5" s="67" t="s">
        <v>323</v>
      </c>
      <c r="AA5" s="37" t="s">
        <v>324</v>
      </c>
      <c r="AB5" s="68" t="s">
        <v>325</v>
      </c>
      <c r="AC5" s="28" t="s">
        <v>326</v>
      </c>
      <c r="AD5" s="37"/>
      <c r="AE5" s="37"/>
      <c r="AF5" s="37"/>
      <c r="AG5" s="37"/>
      <c r="AH5" s="37"/>
      <c r="AI5" s="37"/>
      <c r="AJ5" s="69"/>
      <c r="AK5" s="69"/>
      <c r="AL5" s="69"/>
      <c r="AM5" s="70"/>
      <c r="AN5" s="69"/>
      <c r="AO5" s="69"/>
      <c r="AP5" s="37"/>
      <c r="AQ5" s="23"/>
      <c r="AR5" s="37"/>
      <c r="AS5" s="37"/>
      <c r="AT5" s="37"/>
      <c r="AU5" s="37"/>
      <c r="AV5" s="37"/>
      <c r="AW5" s="37"/>
      <c r="AX5" s="37"/>
      <c r="AY5" s="37"/>
      <c r="AZ5" s="37"/>
      <c r="BA5" s="37"/>
      <c r="BB5" s="37"/>
      <c r="BC5" s="37"/>
      <c r="BD5" s="37"/>
      <c r="BE5" s="37"/>
      <c r="BF5" s="37"/>
      <c r="BG5" s="37"/>
      <c r="BH5" s="37"/>
    </row>
  </sheetData>
  <dataValidations count="7">
    <dataValidation type="list" allowBlank="1" showErrorMessage="1" sqref="P2" xr:uid="{4C2F304D-D083-4F8D-83E8-ABB59116C046}">
      <formula1>"Salon CSE Bordeaux 2025,Contactys 2024,Boutique LEX14,Parrainage 300 €,SDO62,MGE37,ORDIFORMA 62,CDI79,EBS41,FGTE,Prospection,Perso,Démarchage,Opportunité commerciale,Prospection Directe,recommandation,Salon CSE Nantes 2025,Salon CSE Bordeaux 2024,Salon Na"&amp;"ncy 2024,Réseau CFDT,Salon CSE,Réseau PRO,Réseau UNSA,UNSA transport,Parrainage,Contactys 2023,Salon Metz 2025,Salon CSE La Rochelle 2025,Salon CSE Nantes 2024,Salon CSE Poitiers 2025,Salon CSE Nancy 2025,Salon CSE Nantes 2026"</formula1>
    </dataValidation>
    <dataValidation type="list" allowBlank="1" showErrorMessage="1" sqref="A2:A5" xr:uid="{3871B11F-7E52-4399-9FBD-86967236D107}">
      <formula1>"AOPIA,LIKEFORMATION ,CONTACTYS,LFS"</formula1>
    </dataValidation>
    <dataValidation type="list" allowBlank="1" showErrorMessage="1" sqref="P3:P5" xr:uid="{52154CD0-7F1E-4D99-8935-F7061EA63F49}">
      <formula1>"Salon CSE Bordeaux 2025,Contactys 2024,Boutique LEX14,Parrainage 300 €,SDO62,MGE37,ORDIFORMA 62,CDI79,EBS41,FGTE,Prospection,Perso,Démarchage,Opportunité commerciale,Prospection Directe,recommandation,Salon CSE Nantes 2025,Salon CSE Bordeaux 2024,Salon Na"&amp;"ncy 2024,Réseau CFDT,Salon CSE,Réseau PRO,Réseau UNSA,UNSA transport,Parrainage,Contactys 2023,Salon Metz 2025,Salon CSE La Rochelle 2025,Click Droit Informatique 79,Salon CSE Poitiers 2025,Salon CSE Metz 2026,Salon CSE Rennes 2026,Salon CSE Tours 2026"</formula1>
    </dataValidation>
    <dataValidation type="list" allowBlank="1" showErrorMessage="1" sqref="O2:O5" xr:uid="{9BF2725D-5549-4DF7-AA69-078AD132FB23}">
      <formula1>"CSE,Associations,Partenariats annulés,Syndicats,Entreprise"</formula1>
    </dataValidation>
    <dataValidation type="list" allowBlank="1" showErrorMessage="1" sqref="R2:R5" xr:uid="{9BC2A7C4-0B43-490B-B218-4DFBFE301C8F}">
      <formula1>" LEX014 ,AGUIAR Wilfrid,BENOIT Gwladys,BERNIER Séverine,BIARDOUX Bruno,BIRÉ Aurélie,BLIN Mélinda,BOUCHER Anthony,BOURREL Sandrine,BOUTIN Séverine,BRAULT Victor,BRETON Martin,BROSSARD Danila,CDI79 ,CHEVARIN Alain,CUBAUD Valérie,DELABI Cédric,DELATTRE Hervé"&amp;",DERUELLE Christophe,DPC49 ,DURAT Maxence,EBS41 ,EIM01 ,FAURY Béatrice,FLOREK  Alexandre,FPC72 ,GAILLARD Nathalie,GAUVILLE Ghislaine,GRUAUD Sandrine,HÉRAULT Véronique,HUARD Christophe,HUBERT Philippe ,ITS62 ,JACQUART Marie-Hélène,JLB49 ,LANDAIS Arnaud,LE "&amp;"PEVEDIC Karine,LEDOUX Justine,LEX14 ,MINEAU Isabelle,PCI48 ,PINO CORTES Franck,SALGUIERO Elisabeth,SINAMO Samuel,THIBAUD Francis ,TOIX Laure,VERGNE Thierry,WEISSENBACHER Fabien,COLIN Sophie,PERROT Francis,PHILIPPEAU Olivier,BOUCHER Anthony,ADV"</formula1>
    </dataValidation>
    <dataValidation type="list" allowBlank="1" showErrorMessage="1" sqref="E3:E5" xr:uid="{D3EE1A95-8CE8-43B0-959A-9B5AED2B8DA8}">
      <formula1>"En cours,En prospect,Refus,Reprise de contact,Signée,Signée sans convention,Pas d'intérêt,stop,signée/stop,À prospecter ,en cours de signature,Stand by ,Signé nouveau process"</formula1>
    </dataValidation>
    <dataValidation type="list" allowBlank="1" showErrorMessage="1" sqref="E2" xr:uid="{FF6B6308-F4D3-424F-A903-A292A014E84A}">
      <formula1>"En cours,En prospect,Refus,Reprise de contact,Signée,Signée sans convention,Pas d'intérêt,stop,signée/stop,À prospecter ,en cours de signature,signé nouveau process,en attente signature"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8D6D8-66A7-4A69-B8E8-D86418FA6794}">
  <dimension ref="A1:BH28"/>
  <sheetViews>
    <sheetView tabSelected="1" workbookViewId="0">
      <selection activeCell="I7" sqref="I7"/>
    </sheetView>
  </sheetViews>
  <sheetFormatPr baseColWidth="10" defaultRowHeight="14.4" x14ac:dyDescent="0.3"/>
  <sheetData>
    <row r="1" spans="1:60" ht="88.5" customHeight="1" x14ac:dyDescent="0.3">
      <c r="A1" s="46"/>
      <c r="B1" s="71" t="s">
        <v>1</v>
      </c>
      <c r="C1" s="46" t="s">
        <v>2</v>
      </c>
      <c r="D1" s="46" t="s">
        <v>3</v>
      </c>
      <c r="E1" s="46" t="s">
        <v>4</v>
      </c>
      <c r="F1" s="46" t="s">
        <v>5</v>
      </c>
      <c r="G1" s="72" t="s">
        <v>327</v>
      </c>
      <c r="H1" s="46" t="s">
        <v>14</v>
      </c>
      <c r="I1" s="46" t="s">
        <v>15</v>
      </c>
      <c r="J1" s="46" t="s">
        <v>16</v>
      </c>
      <c r="K1" s="46" t="s">
        <v>328</v>
      </c>
      <c r="L1" s="46" t="s">
        <v>329</v>
      </c>
      <c r="M1" s="46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9" t="s">
        <v>33</v>
      </c>
      <c r="AB1" s="9" t="s">
        <v>34</v>
      </c>
      <c r="AC1" s="10" t="s">
        <v>35</v>
      </c>
      <c r="AD1" s="10" t="s">
        <v>36</v>
      </c>
      <c r="AE1" s="10" t="s">
        <v>37</v>
      </c>
      <c r="AF1" s="10" t="s">
        <v>38</v>
      </c>
      <c r="AG1" s="10" t="s">
        <v>39</v>
      </c>
      <c r="AH1" s="10" t="s">
        <v>40</v>
      </c>
      <c r="AI1" s="11" t="s">
        <v>41</v>
      </c>
      <c r="AJ1" s="12" t="s">
        <v>42</v>
      </c>
      <c r="AK1" s="73" t="s">
        <v>330</v>
      </c>
      <c r="AL1" s="74" t="s">
        <v>9</v>
      </c>
      <c r="AM1" s="73" t="s">
        <v>10</v>
      </c>
      <c r="AN1" s="75" t="s">
        <v>331</v>
      </c>
      <c r="AO1" s="75" t="s">
        <v>12</v>
      </c>
      <c r="AP1" s="75" t="s">
        <v>332</v>
      </c>
      <c r="AQ1" s="76"/>
      <c r="AR1" s="76"/>
      <c r="AS1" s="76"/>
      <c r="AT1" s="76"/>
      <c r="AU1" s="76"/>
      <c r="AV1" s="76"/>
      <c r="AW1" s="76"/>
      <c r="AX1" s="76"/>
      <c r="AY1" s="76"/>
      <c r="AZ1" s="76"/>
      <c r="BA1" s="76"/>
      <c r="BB1" s="76"/>
      <c r="BC1" s="76"/>
      <c r="BD1" s="76"/>
      <c r="BE1" s="76"/>
      <c r="BF1" s="76"/>
      <c r="BG1" s="76"/>
      <c r="BH1" s="76"/>
    </row>
    <row r="2" spans="1:60" ht="42.75" customHeight="1" x14ac:dyDescent="0.3">
      <c r="A2" s="14" t="s">
        <v>43</v>
      </c>
      <c r="B2" s="15" t="s">
        <v>44</v>
      </c>
      <c r="C2" s="16" t="s">
        <v>45</v>
      </c>
      <c r="D2" s="16">
        <v>40</v>
      </c>
      <c r="E2" s="16" t="s">
        <v>46</v>
      </c>
      <c r="F2" s="18">
        <v>2026</v>
      </c>
      <c r="G2" s="19">
        <v>46072</v>
      </c>
      <c r="H2" s="23" t="s">
        <v>48</v>
      </c>
      <c r="I2" s="23"/>
      <c r="J2" s="16"/>
      <c r="K2" s="59" t="s">
        <v>333</v>
      </c>
      <c r="L2" s="59" t="s">
        <v>334</v>
      </c>
      <c r="M2" s="23" t="s">
        <v>50</v>
      </c>
      <c r="N2" s="16">
        <v>65</v>
      </c>
      <c r="O2" s="16" t="s">
        <v>51</v>
      </c>
      <c r="P2" s="16">
        <v>65000</v>
      </c>
      <c r="Q2" s="16" t="s">
        <v>52</v>
      </c>
      <c r="R2" s="16" t="s">
        <v>53</v>
      </c>
      <c r="S2" s="17" t="s">
        <v>54</v>
      </c>
      <c r="T2" s="16" t="s">
        <v>55</v>
      </c>
      <c r="U2" s="25" t="s">
        <v>56</v>
      </c>
      <c r="V2" s="77"/>
      <c r="W2" s="16" t="s">
        <v>57</v>
      </c>
      <c r="X2" s="16"/>
      <c r="Y2" s="16"/>
      <c r="Z2" s="16"/>
      <c r="AA2" s="16"/>
      <c r="AB2" s="16"/>
      <c r="AC2" s="27"/>
      <c r="AD2" s="27"/>
      <c r="AE2" s="27"/>
      <c r="AF2" s="27"/>
      <c r="AG2" s="27"/>
      <c r="AH2" s="27"/>
      <c r="AI2" s="16"/>
      <c r="AJ2" s="16"/>
      <c r="AK2" s="78"/>
      <c r="AL2" s="79"/>
      <c r="AM2" s="79"/>
      <c r="AN2" s="80">
        <v>46098</v>
      </c>
      <c r="AO2" s="45"/>
      <c r="AP2" s="45"/>
      <c r="AQ2" s="81"/>
      <c r="AR2" s="81"/>
      <c r="AS2" s="81"/>
      <c r="AT2" s="81"/>
      <c r="AU2" s="81"/>
      <c r="AV2" s="81"/>
      <c r="AW2" s="81"/>
      <c r="AX2" s="81"/>
      <c r="AY2" s="81"/>
      <c r="AZ2" s="81"/>
      <c r="BA2" s="81"/>
      <c r="BB2" s="81"/>
      <c r="BC2" s="81"/>
      <c r="BD2" s="81"/>
      <c r="BE2" s="81"/>
      <c r="BF2" s="81"/>
      <c r="BG2" s="81"/>
      <c r="BH2" s="81"/>
    </row>
    <row r="3" spans="1:60" ht="42.75" customHeight="1" x14ac:dyDescent="0.3">
      <c r="A3" s="14" t="s">
        <v>43</v>
      </c>
      <c r="B3" s="82" t="s">
        <v>65</v>
      </c>
      <c r="C3" s="17" t="s">
        <v>66</v>
      </c>
      <c r="D3" s="16">
        <v>540</v>
      </c>
      <c r="E3" s="24" t="s">
        <v>67</v>
      </c>
      <c r="F3" s="32">
        <v>2024</v>
      </c>
      <c r="G3" s="33">
        <v>45615</v>
      </c>
      <c r="H3" s="23" t="s">
        <v>68</v>
      </c>
      <c r="I3" s="23"/>
      <c r="J3" s="23"/>
      <c r="K3" s="23" t="s">
        <v>335</v>
      </c>
      <c r="L3" s="23" t="s">
        <v>336</v>
      </c>
      <c r="M3" s="23" t="s">
        <v>70</v>
      </c>
      <c r="N3" s="23">
        <v>57</v>
      </c>
      <c r="O3" s="34" t="s">
        <v>71</v>
      </c>
      <c r="P3" s="23">
        <v>57152</v>
      </c>
      <c r="Q3" s="23" t="s">
        <v>72</v>
      </c>
      <c r="R3" s="23" t="s">
        <v>73</v>
      </c>
      <c r="S3" s="23" t="s">
        <v>74</v>
      </c>
      <c r="T3" s="23" t="s">
        <v>75</v>
      </c>
      <c r="U3" s="83" t="s">
        <v>76</v>
      </c>
      <c r="V3" s="16" t="s">
        <v>77</v>
      </c>
      <c r="W3" s="23" t="s">
        <v>47</v>
      </c>
      <c r="X3" s="23"/>
      <c r="Y3" s="23"/>
      <c r="Z3" s="23" t="s">
        <v>78</v>
      </c>
      <c r="AA3" s="16" t="s">
        <v>79</v>
      </c>
      <c r="AB3" s="23"/>
      <c r="AC3" s="36">
        <v>95</v>
      </c>
      <c r="AD3" s="36">
        <v>20</v>
      </c>
      <c r="AE3" s="36">
        <f>AC3-AD3</f>
        <v>75</v>
      </c>
      <c r="AF3" s="36">
        <v>0</v>
      </c>
      <c r="AG3" s="36">
        <f>AE3-AF3</f>
        <v>75</v>
      </c>
      <c r="AH3" s="36">
        <f>AG3</f>
        <v>75</v>
      </c>
      <c r="AI3" s="23"/>
      <c r="AJ3" s="23"/>
      <c r="AK3" s="84">
        <v>45805</v>
      </c>
      <c r="AL3" s="85" t="s">
        <v>337</v>
      </c>
      <c r="AM3" s="85"/>
      <c r="AN3" s="86">
        <v>45797</v>
      </c>
      <c r="AO3" s="45">
        <v>2</v>
      </c>
      <c r="AP3" s="45"/>
      <c r="AQ3" s="81"/>
      <c r="AR3" s="81"/>
      <c r="AS3" s="81"/>
      <c r="AT3" s="81"/>
      <c r="AU3" s="81"/>
      <c r="AV3" s="81"/>
      <c r="AW3" s="81"/>
      <c r="AX3" s="81"/>
      <c r="AY3" s="81"/>
      <c r="AZ3" s="81"/>
      <c r="BA3" s="81"/>
      <c r="BB3" s="81"/>
      <c r="BC3" s="81"/>
      <c r="BD3" s="81"/>
      <c r="BE3" s="81"/>
      <c r="BF3" s="81"/>
      <c r="BG3" s="81"/>
      <c r="BH3" s="81"/>
    </row>
    <row r="4" spans="1:60" ht="42.75" customHeight="1" x14ac:dyDescent="0.3">
      <c r="A4" s="14" t="s">
        <v>156</v>
      </c>
      <c r="B4" s="87" t="s">
        <v>338</v>
      </c>
      <c r="C4" s="17" t="s">
        <v>339</v>
      </c>
      <c r="D4" s="16">
        <v>55</v>
      </c>
      <c r="E4" s="24" t="s">
        <v>67</v>
      </c>
      <c r="F4" s="32">
        <v>2023</v>
      </c>
      <c r="G4" s="33">
        <v>45234</v>
      </c>
      <c r="H4" s="23" t="s">
        <v>68</v>
      </c>
      <c r="I4" s="23"/>
      <c r="J4" s="23"/>
      <c r="K4" s="59" t="s">
        <v>340</v>
      </c>
      <c r="L4" s="59" t="s">
        <v>341</v>
      </c>
      <c r="M4" s="23"/>
      <c r="N4" s="16">
        <v>84</v>
      </c>
      <c r="O4" s="34"/>
      <c r="P4" s="23"/>
      <c r="Q4" s="16" t="s">
        <v>342</v>
      </c>
      <c r="R4" s="23" t="s">
        <v>218</v>
      </c>
      <c r="S4" s="16"/>
      <c r="T4" s="23"/>
      <c r="U4" s="16"/>
      <c r="V4" s="28"/>
      <c r="W4" s="23"/>
      <c r="X4" s="23"/>
      <c r="Y4" s="23"/>
      <c r="Z4" s="23"/>
      <c r="AA4" s="23"/>
      <c r="AB4" s="23"/>
      <c r="AC4" s="36">
        <v>49</v>
      </c>
      <c r="AD4" s="36"/>
      <c r="AE4" s="36"/>
      <c r="AF4" s="27"/>
      <c r="AG4" s="36"/>
      <c r="AH4" s="36"/>
      <c r="AI4" s="23"/>
      <c r="AJ4" s="23"/>
      <c r="AK4" s="45"/>
      <c r="AL4" s="85"/>
      <c r="AM4" s="85"/>
      <c r="AN4" s="45"/>
      <c r="AO4" s="45"/>
      <c r="AP4" s="81"/>
      <c r="AQ4" s="81"/>
      <c r="AR4" s="81"/>
      <c r="AS4" s="81"/>
      <c r="AT4" s="81"/>
      <c r="AU4" s="81"/>
      <c r="AV4" s="81"/>
      <c r="AW4" s="81"/>
      <c r="AX4" s="81"/>
      <c r="AY4" s="81"/>
      <c r="AZ4" s="81"/>
      <c r="BA4" s="81"/>
      <c r="BB4" s="81"/>
      <c r="BC4" s="81"/>
      <c r="BD4" s="81"/>
      <c r="BE4" s="81"/>
      <c r="BF4" s="81"/>
      <c r="BG4" s="81"/>
      <c r="BH4" s="81"/>
    </row>
    <row r="5" spans="1:60" ht="42.75" customHeight="1" x14ac:dyDescent="0.3">
      <c r="A5" s="14" t="s">
        <v>43</v>
      </c>
      <c r="B5" s="82" t="s">
        <v>90</v>
      </c>
      <c r="C5" s="17" t="s">
        <v>91</v>
      </c>
      <c r="D5" s="16">
        <v>120</v>
      </c>
      <c r="E5" s="24" t="s">
        <v>67</v>
      </c>
      <c r="F5" s="32">
        <v>2022</v>
      </c>
      <c r="G5" s="33">
        <v>44739</v>
      </c>
      <c r="H5" s="23" t="s">
        <v>68</v>
      </c>
      <c r="I5" s="23"/>
      <c r="J5" s="23"/>
      <c r="K5" s="23" t="s">
        <v>343</v>
      </c>
      <c r="L5" s="23" t="s">
        <v>344</v>
      </c>
      <c r="M5" s="23" t="s">
        <v>50</v>
      </c>
      <c r="N5" s="23">
        <v>86</v>
      </c>
      <c r="O5" s="17" t="s">
        <v>93</v>
      </c>
      <c r="P5" s="23">
        <v>86180</v>
      </c>
      <c r="Q5" s="23" t="s">
        <v>94</v>
      </c>
      <c r="R5" s="23" t="s">
        <v>95</v>
      </c>
      <c r="S5" s="23" t="s">
        <v>96</v>
      </c>
      <c r="T5" s="23" t="s">
        <v>97</v>
      </c>
      <c r="U5" s="83" t="s">
        <v>98</v>
      </c>
      <c r="V5" s="16" t="s">
        <v>99</v>
      </c>
      <c r="W5" s="23" t="s">
        <v>100</v>
      </c>
      <c r="X5" s="23"/>
      <c r="Y5" s="16"/>
      <c r="Z5" s="16" t="s">
        <v>78</v>
      </c>
      <c r="AA5" s="16" t="s">
        <v>79</v>
      </c>
      <c r="AB5" s="23" t="s">
        <v>47</v>
      </c>
      <c r="AC5" s="36">
        <v>95</v>
      </c>
      <c r="AD5" s="36">
        <v>20</v>
      </c>
      <c r="AE5" s="36">
        <f>AC5-AD5</f>
        <v>75</v>
      </c>
      <c r="AF5" s="36">
        <v>0</v>
      </c>
      <c r="AG5" s="36">
        <f>AE5-AF5</f>
        <v>75</v>
      </c>
      <c r="AH5" s="36">
        <f>AG5</f>
        <v>75</v>
      </c>
      <c r="AI5" s="23"/>
      <c r="AJ5" s="23"/>
      <c r="AK5" s="88"/>
      <c r="AL5" s="85"/>
      <c r="AM5" s="85"/>
      <c r="AN5" s="88"/>
      <c r="AO5" s="45"/>
      <c r="AP5" s="45"/>
      <c r="AQ5" s="81"/>
      <c r="AR5" s="81"/>
      <c r="AS5" s="81"/>
      <c r="AT5" s="81"/>
      <c r="AU5" s="81"/>
      <c r="AV5" s="81"/>
      <c r="AW5" s="81"/>
      <c r="AX5" s="81"/>
      <c r="AY5" s="81"/>
      <c r="AZ5" s="81"/>
      <c r="BA5" s="81"/>
      <c r="BB5" s="81"/>
      <c r="BC5" s="81"/>
      <c r="BD5" s="81"/>
      <c r="BE5" s="81"/>
      <c r="BF5" s="81"/>
      <c r="BG5" s="81"/>
      <c r="BH5" s="81"/>
    </row>
    <row r="6" spans="1:60" ht="42.75" customHeight="1" x14ac:dyDescent="0.3">
      <c r="A6" s="14" t="s">
        <v>43</v>
      </c>
      <c r="B6" s="15" t="s">
        <v>345</v>
      </c>
      <c r="C6" s="17" t="s">
        <v>346</v>
      </c>
      <c r="D6" s="16">
        <v>67</v>
      </c>
      <c r="E6" s="24" t="s">
        <v>46</v>
      </c>
      <c r="F6" s="32">
        <v>2026</v>
      </c>
      <c r="G6" s="33">
        <v>46056</v>
      </c>
      <c r="H6" s="23" t="s">
        <v>68</v>
      </c>
      <c r="I6" s="23"/>
      <c r="J6" s="23"/>
      <c r="K6" s="59" t="s">
        <v>347</v>
      </c>
      <c r="L6" s="59" t="s">
        <v>174</v>
      </c>
      <c r="M6" s="23"/>
      <c r="N6" s="23">
        <v>85</v>
      </c>
      <c r="O6" s="17" t="s">
        <v>348</v>
      </c>
      <c r="P6" s="23">
        <v>85220</v>
      </c>
      <c r="Q6" s="23" t="s">
        <v>349</v>
      </c>
      <c r="R6" s="23" t="s">
        <v>350</v>
      </c>
      <c r="S6" s="34" t="s">
        <v>351</v>
      </c>
      <c r="T6" s="23" t="s">
        <v>297</v>
      </c>
      <c r="U6" s="35" t="s">
        <v>352</v>
      </c>
      <c r="V6" s="16" t="s">
        <v>353</v>
      </c>
      <c r="W6" s="23"/>
      <c r="X6" s="23"/>
      <c r="Y6" s="16"/>
      <c r="Z6" s="37"/>
      <c r="AA6" s="16"/>
      <c r="AB6" s="23"/>
      <c r="AC6" s="36"/>
      <c r="AD6" s="36"/>
      <c r="AE6" s="36"/>
      <c r="AF6" s="36"/>
      <c r="AG6" s="36"/>
      <c r="AH6" s="36"/>
      <c r="AI6" s="23"/>
      <c r="AJ6" s="23"/>
      <c r="AK6" s="21"/>
      <c r="AL6" s="85"/>
      <c r="AM6" s="85"/>
      <c r="AN6" s="21">
        <v>46069</v>
      </c>
      <c r="AO6" s="22"/>
      <c r="AP6" s="89"/>
      <c r="AQ6" s="89"/>
      <c r="AR6" s="89"/>
      <c r="AS6" s="89"/>
      <c r="AT6" s="89"/>
      <c r="AU6" s="89"/>
      <c r="AV6" s="89"/>
      <c r="AW6" s="89"/>
      <c r="AX6" s="89"/>
      <c r="AY6" s="89"/>
      <c r="AZ6" s="89"/>
      <c r="BA6" s="89"/>
      <c r="BB6" s="89"/>
      <c r="BC6" s="89"/>
      <c r="BD6" s="89"/>
      <c r="BE6" s="89"/>
      <c r="BF6" s="89"/>
      <c r="BG6" s="89"/>
      <c r="BH6" s="89"/>
    </row>
    <row r="7" spans="1:60" ht="42.75" customHeight="1" x14ac:dyDescent="0.3">
      <c r="A7" s="44" t="s">
        <v>43</v>
      </c>
      <c r="B7" s="82" t="s">
        <v>354</v>
      </c>
      <c r="C7" s="17" t="s">
        <v>355</v>
      </c>
      <c r="D7" s="18" t="s">
        <v>356</v>
      </c>
      <c r="E7" s="16" t="s">
        <v>81</v>
      </c>
      <c r="F7" s="16"/>
      <c r="G7" s="19"/>
      <c r="H7" s="16" t="s">
        <v>68</v>
      </c>
      <c r="I7" s="16" t="s">
        <v>357</v>
      </c>
      <c r="J7" s="16"/>
      <c r="K7" s="23" t="s">
        <v>335</v>
      </c>
      <c r="L7" s="23" t="s">
        <v>336</v>
      </c>
      <c r="M7" s="16"/>
      <c r="N7" s="16" t="s">
        <v>70</v>
      </c>
      <c r="O7" s="16">
        <v>57</v>
      </c>
      <c r="P7" s="16" t="s">
        <v>358</v>
      </c>
      <c r="Q7" s="16">
        <v>57070</v>
      </c>
      <c r="R7" s="16" t="s">
        <v>359</v>
      </c>
      <c r="S7" s="16" t="s">
        <v>360</v>
      </c>
      <c r="T7" s="16" t="s">
        <v>361</v>
      </c>
      <c r="U7" s="16" t="s">
        <v>362</v>
      </c>
      <c r="V7" s="16" t="s">
        <v>363</v>
      </c>
      <c r="W7" s="16"/>
      <c r="X7" s="16"/>
      <c r="Y7" s="16"/>
      <c r="Z7" s="16" t="s">
        <v>364</v>
      </c>
      <c r="AA7" s="16"/>
      <c r="AB7" s="16"/>
      <c r="AC7" s="16"/>
      <c r="AD7" s="16"/>
      <c r="AE7" s="27"/>
      <c r="AF7" s="27"/>
      <c r="AG7" s="27"/>
      <c r="AH7" s="27"/>
      <c r="AI7" s="27"/>
      <c r="AJ7" s="27"/>
      <c r="AK7" s="45"/>
      <c r="AL7" s="79"/>
      <c r="AM7" s="79"/>
      <c r="AN7" s="45"/>
      <c r="AO7" s="45"/>
      <c r="AP7" s="45"/>
      <c r="AQ7" s="81"/>
      <c r="AR7" s="81"/>
      <c r="AS7" s="81"/>
      <c r="AT7" s="81"/>
      <c r="AU7" s="81"/>
      <c r="AV7" s="81"/>
      <c r="AW7" s="81"/>
      <c r="AX7" s="81"/>
      <c r="AY7" s="81"/>
      <c r="AZ7" s="81"/>
      <c r="BA7" s="81"/>
      <c r="BB7" s="81"/>
      <c r="BC7" s="81"/>
      <c r="BD7" s="81"/>
      <c r="BE7" s="81"/>
      <c r="BF7" s="81"/>
      <c r="BG7" s="81"/>
      <c r="BH7" s="81"/>
    </row>
    <row r="8" spans="1:60" ht="42.75" customHeight="1" x14ac:dyDescent="0.3">
      <c r="A8" s="14" t="s">
        <v>230</v>
      </c>
      <c r="B8" s="82" t="s">
        <v>365</v>
      </c>
      <c r="C8" s="17" t="s">
        <v>366</v>
      </c>
      <c r="D8" s="16"/>
      <c r="E8" s="24" t="s">
        <v>67</v>
      </c>
      <c r="F8" s="18">
        <v>2021</v>
      </c>
      <c r="G8" s="19">
        <v>44365</v>
      </c>
      <c r="H8" s="23" t="s">
        <v>68</v>
      </c>
      <c r="I8" s="23"/>
      <c r="J8" s="23"/>
      <c r="K8" s="59"/>
      <c r="L8" s="59"/>
      <c r="M8" s="23"/>
      <c r="N8" s="16">
        <v>79</v>
      </c>
      <c r="O8" s="90"/>
      <c r="P8" s="23"/>
      <c r="Q8" s="16"/>
      <c r="R8" s="16" t="s">
        <v>218</v>
      </c>
      <c r="S8" s="23"/>
      <c r="T8" s="23"/>
      <c r="U8" s="16"/>
      <c r="V8" s="16"/>
      <c r="W8" s="23"/>
      <c r="X8" s="23"/>
      <c r="Y8" s="23"/>
      <c r="Z8" s="23"/>
      <c r="AA8" s="23"/>
      <c r="AB8" s="23"/>
      <c r="AC8" s="36">
        <v>49</v>
      </c>
      <c r="AD8" s="36"/>
      <c r="AE8" s="36"/>
      <c r="AF8" s="27"/>
      <c r="AG8" s="36"/>
      <c r="AH8" s="36"/>
      <c r="AI8" s="23"/>
      <c r="AJ8" s="23"/>
      <c r="AK8" s="88"/>
      <c r="AL8" s="85"/>
      <c r="AM8" s="85"/>
      <c r="AN8" s="88"/>
      <c r="AO8" s="45"/>
      <c r="AP8" s="45"/>
      <c r="AQ8" s="81"/>
      <c r="AR8" s="81"/>
      <c r="AS8" s="81"/>
      <c r="AT8" s="81"/>
      <c r="AU8" s="81"/>
      <c r="AV8" s="81"/>
      <c r="AW8" s="81"/>
      <c r="AX8" s="81"/>
      <c r="AY8" s="81"/>
      <c r="AZ8" s="81"/>
      <c r="BA8" s="81"/>
      <c r="BB8" s="81"/>
      <c r="BC8" s="81"/>
      <c r="BD8" s="81"/>
      <c r="BE8" s="81"/>
      <c r="BF8" s="81"/>
      <c r="BG8" s="81"/>
      <c r="BH8" s="81"/>
    </row>
    <row r="9" spans="1:60" ht="42.75" customHeight="1" x14ac:dyDescent="0.3">
      <c r="A9" s="14" t="s">
        <v>230</v>
      </c>
      <c r="B9" s="82" t="s">
        <v>367</v>
      </c>
      <c r="C9" s="17" t="s">
        <v>368</v>
      </c>
      <c r="D9" s="16"/>
      <c r="E9" s="24" t="s">
        <v>67</v>
      </c>
      <c r="F9" s="32">
        <v>2022</v>
      </c>
      <c r="G9" s="19">
        <v>44597</v>
      </c>
      <c r="H9" s="23"/>
      <c r="I9" s="23"/>
      <c r="J9" s="23"/>
      <c r="K9" s="59"/>
      <c r="L9" s="59"/>
      <c r="M9" s="23"/>
      <c r="N9" s="16">
        <v>65</v>
      </c>
      <c r="O9" s="34" t="s">
        <v>369</v>
      </c>
      <c r="P9" s="23">
        <v>65380</v>
      </c>
      <c r="Q9" s="16" t="s">
        <v>370</v>
      </c>
      <c r="R9" s="16"/>
      <c r="S9" s="23"/>
      <c r="T9" s="23"/>
      <c r="U9" s="16"/>
      <c r="V9" s="16"/>
      <c r="W9" s="23"/>
      <c r="X9" s="23"/>
      <c r="Y9" s="23"/>
      <c r="Z9" s="23"/>
      <c r="AA9" s="23"/>
      <c r="AB9" s="23"/>
      <c r="AC9" s="36">
        <v>49</v>
      </c>
      <c r="AD9" s="36"/>
      <c r="AE9" s="36"/>
      <c r="AF9" s="27"/>
      <c r="AG9" s="36"/>
      <c r="AH9" s="36"/>
      <c r="AI9" s="23"/>
      <c r="AJ9" s="23"/>
      <c r="AK9" s="88"/>
      <c r="AL9" s="85"/>
      <c r="AM9" s="85"/>
      <c r="AN9" s="88"/>
      <c r="AO9" s="45"/>
      <c r="AP9" s="45"/>
      <c r="AQ9" s="81"/>
      <c r="AR9" s="81"/>
      <c r="AS9" s="81"/>
      <c r="AT9" s="81"/>
      <c r="AU9" s="81"/>
      <c r="AV9" s="81"/>
      <c r="AW9" s="81"/>
      <c r="AX9" s="81"/>
      <c r="AY9" s="81"/>
      <c r="AZ9" s="81"/>
      <c r="BA9" s="81"/>
      <c r="BB9" s="81"/>
      <c r="BC9" s="81"/>
      <c r="BD9" s="81"/>
      <c r="BE9" s="81"/>
      <c r="BF9" s="81"/>
      <c r="BG9" s="81"/>
      <c r="BH9" s="81"/>
    </row>
    <row r="10" spans="1:60" ht="42.75" customHeight="1" x14ac:dyDescent="0.3">
      <c r="A10" s="14" t="s">
        <v>230</v>
      </c>
      <c r="B10" s="82" t="s">
        <v>371</v>
      </c>
      <c r="C10" s="17" t="s">
        <v>372</v>
      </c>
      <c r="D10" s="16"/>
      <c r="E10" s="24" t="s">
        <v>67</v>
      </c>
      <c r="F10" s="32">
        <v>2022</v>
      </c>
      <c r="G10" s="19">
        <v>44761</v>
      </c>
      <c r="H10" s="23"/>
      <c r="I10" s="23"/>
      <c r="J10" s="23"/>
      <c r="K10" s="59"/>
      <c r="L10" s="59"/>
      <c r="M10" s="23"/>
      <c r="N10" s="16">
        <v>72</v>
      </c>
      <c r="O10" s="34" t="s">
        <v>373</v>
      </c>
      <c r="P10" s="23">
        <v>72000</v>
      </c>
      <c r="Q10" s="16" t="s">
        <v>374</v>
      </c>
      <c r="R10" s="16"/>
      <c r="S10" s="23"/>
      <c r="T10" s="23"/>
      <c r="U10" s="16"/>
      <c r="V10" s="16"/>
      <c r="W10" s="23"/>
      <c r="X10" s="23"/>
      <c r="Y10" s="23"/>
      <c r="Z10" s="23"/>
      <c r="AA10" s="23"/>
      <c r="AB10" s="23"/>
      <c r="AC10" s="36">
        <v>49</v>
      </c>
      <c r="AD10" s="36"/>
      <c r="AE10" s="36"/>
      <c r="AF10" s="27"/>
      <c r="AG10" s="36"/>
      <c r="AH10" s="36"/>
      <c r="AI10" s="23"/>
      <c r="AJ10" s="23"/>
      <c r="AK10" s="88"/>
      <c r="AL10" s="85"/>
      <c r="AM10" s="85"/>
      <c r="AN10" s="88"/>
      <c r="AO10" s="45"/>
      <c r="AP10" s="45"/>
      <c r="AQ10" s="81"/>
      <c r="AR10" s="81"/>
      <c r="AS10" s="81"/>
      <c r="AT10" s="81"/>
      <c r="AU10" s="81"/>
      <c r="AV10" s="81"/>
      <c r="AW10" s="81"/>
      <c r="AX10" s="81"/>
      <c r="AY10" s="81"/>
      <c r="AZ10" s="81"/>
      <c r="BA10" s="81"/>
      <c r="BB10" s="81"/>
      <c r="BC10" s="81"/>
      <c r="BD10" s="81"/>
      <c r="BE10" s="81"/>
      <c r="BF10" s="81"/>
      <c r="BG10" s="81"/>
      <c r="BH10" s="81"/>
    </row>
    <row r="11" spans="1:60" ht="42.75" customHeight="1" x14ac:dyDescent="0.3">
      <c r="A11" s="14" t="s">
        <v>43</v>
      </c>
      <c r="B11" s="82" t="s">
        <v>375</v>
      </c>
      <c r="C11" s="17" t="s">
        <v>376</v>
      </c>
      <c r="D11" s="16">
        <v>200</v>
      </c>
      <c r="E11" s="24" t="s">
        <v>67</v>
      </c>
      <c r="F11" s="32">
        <v>2022</v>
      </c>
      <c r="G11" s="33">
        <v>44687</v>
      </c>
      <c r="H11" s="23" t="s">
        <v>68</v>
      </c>
      <c r="I11" s="23"/>
      <c r="J11" s="23"/>
      <c r="K11" s="23" t="s">
        <v>377</v>
      </c>
      <c r="L11" s="23" t="s">
        <v>378</v>
      </c>
      <c r="M11" s="23" t="s">
        <v>379</v>
      </c>
      <c r="N11" s="23">
        <v>79</v>
      </c>
      <c r="O11" s="34" t="s">
        <v>380</v>
      </c>
      <c r="P11" s="23">
        <v>79200</v>
      </c>
      <c r="Q11" s="23" t="s">
        <v>381</v>
      </c>
      <c r="R11" s="23" t="s">
        <v>382</v>
      </c>
      <c r="S11" s="23" t="s">
        <v>383</v>
      </c>
      <c r="T11" s="23" t="s">
        <v>384</v>
      </c>
      <c r="U11" s="91" t="s">
        <v>385</v>
      </c>
      <c r="V11" s="16" t="s">
        <v>47</v>
      </c>
      <c r="W11" s="23" t="s">
        <v>386</v>
      </c>
      <c r="X11" s="23"/>
      <c r="Y11" s="23"/>
      <c r="Z11" s="16" t="s">
        <v>78</v>
      </c>
      <c r="AA11" s="16" t="s">
        <v>79</v>
      </c>
      <c r="AB11" s="23" t="s">
        <v>47</v>
      </c>
      <c r="AC11" s="36">
        <v>95</v>
      </c>
      <c r="AD11" s="36">
        <v>20</v>
      </c>
      <c r="AE11" s="36">
        <f>AC11-AD11</f>
        <v>75</v>
      </c>
      <c r="AF11" s="36">
        <v>0</v>
      </c>
      <c r="AG11" s="36">
        <f>AE11-AF11</f>
        <v>75</v>
      </c>
      <c r="AH11" s="36">
        <f>AG11</f>
        <v>75</v>
      </c>
      <c r="AI11" s="23"/>
      <c r="AJ11" s="23"/>
      <c r="AK11" s="92" t="s">
        <v>47</v>
      </c>
      <c r="AL11" s="85">
        <v>0</v>
      </c>
      <c r="AM11" s="85">
        <v>0</v>
      </c>
      <c r="AN11" s="93" t="s">
        <v>47</v>
      </c>
      <c r="AO11" s="45">
        <v>0</v>
      </c>
      <c r="AP11" s="45">
        <v>0</v>
      </c>
      <c r="AQ11" s="81"/>
      <c r="AR11" s="81"/>
      <c r="AS11" s="81"/>
      <c r="AT11" s="81"/>
      <c r="AU11" s="81"/>
      <c r="AV11" s="81"/>
      <c r="AW11" s="81"/>
      <c r="AX11" s="81"/>
      <c r="AY11" s="81"/>
      <c r="AZ11" s="81"/>
      <c r="BA11" s="81"/>
      <c r="BB11" s="81"/>
      <c r="BC11" s="81"/>
      <c r="BD11" s="81"/>
      <c r="BE11" s="81"/>
      <c r="BF11" s="81"/>
      <c r="BG11" s="81"/>
      <c r="BH11" s="81"/>
    </row>
    <row r="12" spans="1:60" ht="42.75" customHeight="1" x14ac:dyDescent="0.3">
      <c r="A12" s="14" t="s">
        <v>156</v>
      </c>
      <c r="B12" s="82" t="s">
        <v>387</v>
      </c>
      <c r="C12" s="17" t="s">
        <v>388</v>
      </c>
      <c r="D12" s="16">
        <v>60</v>
      </c>
      <c r="E12" s="24" t="s">
        <v>67</v>
      </c>
      <c r="F12" s="32">
        <v>2022</v>
      </c>
      <c r="G12" s="33">
        <v>44845</v>
      </c>
      <c r="H12" s="23" t="s">
        <v>68</v>
      </c>
      <c r="I12" s="23"/>
      <c r="J12" s="23"/>
      <c r="K12" s="59" t="s">
        <v>340</v>
      </c>
      <c r="L12" s="59" t="s">
        <v>341</v>
      </c>
      <c r="M12" s="23"/>
      <c r="N12" s="16">
        <v>1</v>
      </c>
      <c r="O12" s="34"/>
      <c r="P12" s="23"/>
      <c r="Q12" s="16" t="s">
        <v>389</v>
      </c>
      <c r="R12" s="23" t="s">
        <v>218</v>
      </c>
      <c r="S12" s="23"/>
      <c r="T12" s="23"/>
      <c r="U12" s="16"/>
      <c r="V12" s="16"/>
      <c r="W12" s="23"/>
      <c r="X12" s="23"/>
      <c r="Y12" s="23"/>
      <c r="Z12" s="23"/>
      <c r="AA12" s="23"/>
      <c r="AB12" s="23"/>
      <c r="AC12" s="36">
        <v>49</v>
      </c>
      <c r="AD12" s="36"/>
      <c r="AE12" s="36"/>
      <c r="AF12" s="27"/>
      <c r="AG12" s="36"/>
      <c r="AH12" s="36"/>
      <c r="AI12" s="23"/>
      <c r="AJ12" s="23"/>
      <c r="AK12" s="88"/>
      <c r="AL12" s="85"/>
      <c r="AM12" s="85"/>
      <c r="AN12" s="88"/>
      <c r="AO12" s="45"/>
      <c r="AP12" s="45"/>
      <c r="AQ12" s="81"/>
      <c r="AR12" s="81"/>
      <c r="AS12" s="81"/>
      <c r="AT12" s="81"/>
      <c r="AU12" s="81"/>
      <c r="AV12" s="81"/>
      <c r="AW12" s="81"/>
      <c r="AX12" s="81"/>
      <c r="AY12" s="81"/>
      <c r="AZ12" s="81"/>
      <c r="BA12" s="81"/>
      <c r="BB12" s="81"/>
      <c r="BC12" s="81"/>
      <c r="BD12" s="81"/>
      <c r="BE12" s="81"/>
      <c r="BF12" s="81"/>
      <c r="BG12" s="81"/>
      <c r="BH12" s="81"/>
    </row>
    <row r="13" spans="1:60" ht="42.75" customHeight="1" x14ac:dyDescent="0.3">
      <c r="A13" s="44" t="s">
        <v>43</v>
      </c>
      <c r="B13" s="82" t="s">
        <v>390</v>
      </c>
      <c r="C13" s="17" t="s">
        <v>391</v>
      </c>
      <c r="D13" s="18" t="s">
        <v>392</v>
      </c>
      <c r="E13" s="16" t="s">
        <v>81</v>
      </c>
      <c r="F13" s="16"/>
      <c r="G13" s="19"/>
      <c r="H13" s="16" t="s">
        <v>68</v>
      </c>
      <c r="I13" s="16" t="s">
        <v>357</v>
      </c>
      <c r="J13" s="16"/>
      <c r="K13" s="23" t="s">
        <v>335</v>
      </c>
      <c r="L13" s="23" t="s">
        <v>336</v>
      </c>
      <c r="M13" s="16"/>
      <c r="N13" s="16" t="s">
        <v>70</v>
      </c>
      <c r="O13" s="16">
        <v>94</v>
      </c>
      <c r="P13" s="16" t="s">
        <v>393</v>
      </c>
      <c r="Q13" s="16">
        <v>94207</v>
      </c>
      <c r="R13" s="16" t="s">
        <v>394</v>
      </c>
      <c r="S13" s="16" t="s">
        <v>395</v>
      </c>
      <c r="T13" s="16" t="s">
        <v>396</v>
      </c>
      <c r="U13" s="16" t="s">
        <v>397</v>
      </c>
      <c r="V13" s="16" t="s">
        <v>398</v>
      </c>
      <c r="W13" s="16" t="s">
        <v>399</v>
      </c>
      <c r="X13" s="16"/>
      <c r="Y13" s="16"/>
      <c r="Z13" s="16" t="s">
        <v>400</v>
      </c>
      <c r="AA13" s="16"/>
      <c r="AB13" s="16"/>
      <c r="AC13" s="16"/>
      <c r="AD13" s="16"/>
      <c r="AE13" s="27"/>
      <c r="AF13" s="27"/>
      <c r="AG13" s="27"/>
      <c r="AH13" s="27"/>
      <c r="AI13" s="27"/>
      <c r="AJ13" s="27"/>
      <c r="AK13" s="45"/>
      <c r="AL13" s="79"/>
      <c r="AM13" s="79"/>
      <c r="AN13" s="45"/>
      <c r="AO13" s="45"/>
      <c r="AP13" s="45"/>
      <c r="AQ13" s="81"/>
      <c r="AR13" s="81"/>
      <c r="AS13" s="81"/>
      <c r="AT13" s="81"/>
      <c r="AU13" s="81"/>
      <c r="AV13" s="81"/>
      <c r="AW13" s="81"/>
      <c r="AX13" s="81"/>
      <c r="AY13" s="81"/>
      <c r="AZ13" s="81"/>
      <c r="BA13" s="81"/>
      <c r="BB13" s="81"/>
      <c r="BC13" s="81"/>
      <c r="BD13" s="81"/>
      <c r="BE13" s="81"/>
      <c r="BF13" s="81"/>
      <c r="BG13" s="81"/>
      <c r="BH13" s="81"/>
    </row>
    <row r="14" spans="1:60" ht="42.75" customHeight="1" x14ac:dyDescent="0.3">
      <c r="A14" s="14" t="s">
        <v>43</v>
      </c>
      <c r="B14" s="82" t="s">
        <v>401</v>
      </c>
      <c r="C14" s="17" t="s">
        <v>402</v>
      </c>
      <c r="D14" s="16">
        <v>1000</v>
      </c>
      <c r="E14" s="24" t="s">
        <v>67</v>
      </c>
      <c r="F14" s="32">
        <v>2024</v>
      </c>
      <c r="G14" s="33">
        <v>45559</v>
      </c>
      <c r="H14" s="23" t="s">
        <v>68</v>
      </c>
      <c r="I14" s="23"/>
      <c r="J14" s="23"/>
      <c r="K14" s="23" t="s">
        <v>403</v>
      </c>
      <c r="L14" s="23" t="s">
        <v>404</v>
      </c>
      <c r="M14" s="23" t="s">
        <v>379</v>
      </c>
      <c r="N14" s="23">
        <v>17</v>
      </c>
      <c r="O14" s="34" t="s">
        <v>405</v>
      </c>
      <c r="P14" s="23">
        <v>17440</v>
      </c>
      <c r="Q14" s="23" t="s">
        <v>406</v>
      </c>
      <c r="R14" s="23" t="s">
        <v>407</v>
      </c>
      <c r="S14" s="23" t="s">
        <v>136</v>
      </c>
      <c r="T14" s="23" t="s">
        <v>55</v>
      </c>
      <c r="U14" s="83" t="s">
        <v>408</v>
      </c>
      <c r="V14" s="16" t="s">
        <v>409</v>
      </c>
      <c r="W14" s="23" t="s">
        <v>47</v>
      </c>
      <c r="X14" s="23"/>
      <c r="Y14" s="23"/>
      <c r="Z14" s="23" t="s">
        <v>78</v>
      </c>
      <c r="AA14" s="23"/>
      <c r="AB14" s="23"/>
      <c r="AC14" s="36">
        <v>95</v>
      </c>
      <c r="AD14" s="36">
        <v>20</v>
      </c>
      <c r="AE14" s="36">
        <f>AC14-AD14</f>
        <v>75</v>
      </c>
      <c r="AF14" s="36">
        <v>0</v>
      </c>
      <c r="AG14" s="36">
        <f>AE14-AF14</f>
        <v>75</v>
      </c>
      <c r="AH14" s="36">
        <f>AG14</f>
        <v>75</v>
      </c>
      <c r="AI14" s="23"/>
      <c r="AJ14" s="23"/>
      <c r="AK14" s="88"/>
      <c r="AL14" s="85">
        <v>2</v>
      </c>
      <c r="AM14" s="85"/>
      <c r="AN14" s="88"/>
      <c r="AO14" s="45">
        <v>4</v>
      </c>
      <c r="AP14" s="45"/>
      <c r="AQ14" s="81"/>
      <c r="AR14" s="81"/>
      <c r="AS14" s="81"/>
      <c r="AT14" s="81"/>
      <c r="AU14" s="81"/>
      <c r="AV14" s="81"/>
      <c r="AW14" s="81"/>
      <c r="AX14" s="81"/>
      <c r="AY14" s="81"/>
      <c r="AZ14" s="81"/>
      <c r="BA14" s="81"/>
      <c r="BB14" s="81"/>
      <c r="BC14" s="81"/>
      <c r="BD14" s="81"/>
      <c r="BE14" s="81"/>
      <c r="BF14" s="81"/>
      <c r="BG14" s="81"/>
      <c r="BH14" s="81"/>
    </row>
    <row r="15" spans="1:60" ht="42.75" customHeight="1" x14ac:dyDescent="0.3">
      <c r="A15" s="14" t="s">
        <v>230</v>
      </c>
      <c r="B15" s="82" t="s">
        <v>410</v>
      </c>
      <c r="C15" s="17" t="s">
        <v>411</v>
      </c>
      <c r="D15" s="16"/>
      <c r="E15" s="24" t="s">
        <v>67</v>
      </c>
      <c r="F15" s="32">
        <v>2022</v>
      </c>
      <c r="G15" s="19">
        <v>44645</v>
      </c>
      <c r="H15" s="23" t="s">
        <v>68</v>
      </c>
      <c r="I15" s="23"/>
      <c r="J15" s="23"/>
      <c r="K15" s="59"/>
      <c r="L15" s="59"/>
      <c r="M15" s="23"/>
      <c r="N15" s="16">
        <v>18</v>
      </c>
      <c r="O15" s="34"/>
      <c r="P15" s="23"/>
      <c r="Q15" s="16"/>
      <c r="R15" s="16" t="s">
        <v>218</v>
      </c>
      <c r="S15" s="23"/>
      <c r="T15" s="23"/>
      <c r="U15" s="16"/>
      <c r="V15" s="16"/>
      <c r="W15" s="23"/>
      <c r="X15" s="23"/>
      <c r="Y15" s="23"/>
      <c r="Z15" s="23"/>
      <c r="AA15" s="23"/>
      <c r="AB15" s="23"/>
      <c r="AC15" s="36">
        <v>49</v>
      </c>
      <c r="AD15" s="36"/>
      <c r="AE15" s="36"/>
      <c r="AF15" s="27"/>
      <c r="AG15" s="36"/>
      <c r="AH15" s="36"/>
      <c r="AI15" s="23"/>
      <c r="AJ15" s="23"/>
      <c r="AK15" s="88"/>
      <c r="AL15" s="85"/>
      <c r="AM15" s="85"/>
      <c r="AN15" s="88"/>
      <c r="AO15" s="45"/>
      <c r="AP15" s="45"/>
      <c r="AQ15" s="81"/>
      <c r="AR15" s="81"/>
      <c r="AS15" s="81"/>
      <c r="AT15" s="81"/>
      <c r="AU15" s="81"/>
      <c r="AV15" s="81"/>
      <c r="AW15" s="81"/>
      <c r="AX15" s="81"/>
      <c r="AY15" s="81"/>
      <c r="AZ15" s="81"/>
      <c r="BA15" s="81"/>
      <c r="BB15" s="81"/>
      <c r="BC15" s="81"/>
      <c r="BD15" s="81"/>
      <c r="BE15" s="81"/>
      <c r="BF15" s="81"/>
      <c r="BG15" s="81"/>
      <c r="BH15" s="81"/>
    </row>
    <row r="16" spans="1:60" ht="42.75" customHeight="1" x14ac:dyDescent="0.3">
      <c r="A16" s="14" t="s">
        <v>230</v>
      </c>
      <c r="B16" s="82" t="s">
        <v>412</v>
      </c>
      <c r="C16" s="17" t="s">
        <v>413</v>
      </c>
      <c r="D16" s="16"/>
      <c r="E16" s="24" t="s">
        <v>67</v>
      </c>
      <c r="F16" s="32">
        <v>2022</v>
      </c>
      <c r="G16" s="19">
        <v>44761</v>
      </c>
      <c r="H16" s="23" t="s">
        <v>68</v>
      </c>
      <c r="I16" s="23"/>
      <c r="J16" s="23"/>
      <c r="K16" s="59"/>
      <c r="L16" s="59"/>
      <c r="M16" s="23"/>
      <c r="N16" s="16">
        <v>16</v>
      </c>
      <c r="O16" s="34"/>
      <c r="P16" s="23"/>
      <c r="Q16" s="16"/>
      <c r="R16" s="16" t="s">
        <v>218</v>
      </c>
      <c r="S16" s="23"/>
      <c r="T16" s="23"/>
      <c r="U16" s="16"/>
      <c r="V16" s="16"/>
      <c r="W16" s="23"/>
      <c r="X16" s="23"/>
      <c r="Y16" s="23"/>
      <c r="Z16" s="23"/>
      <c r="AA16" s="23"/>
      <c r="AB16" s="23"/>
      <c r="AC16" s="36">
        <v>49</v>
      </c>
      <c r="AD16" s="36"/>
      <c r="AE16" s="36"/>
      <c r="AF16" s="27"/>
      <c r="AG16" s="36"/>
      <c r="AH16" s="36"/>
      <c r="AI16" s="23"/>
      <c r="AJ16" s="23"/>
      <c r="AK16" s="88"/>
      <c r="AL16" s="85"/>
      <c r="AM16" s="85"/>
      <c r="AN16" s="94"/>
      <c r="AO16" s="45"/>
      <c r="AP16" s="45"/>
      <c r="AQ16" s="81"/>
      <c r="AR16" s="81"/>
      <c r="AS16" s="81"/>
      <c r="AT16" s="81"/>
      <c r="AU16" s="81"/>
      <c r="AV16" s="81"/>
      <c r="AW16" s="81"/>
      <c r="AX16" s="81"/>
      <c r="AY16" s="81"/>
      <c r="AZ16" s="81"/>
      <c r="BA16" s="81"/>
      <c r="BB16" s="81"/>
      <c r="BC16" s="81"/>
      <c r="BD16" s="81"/>
      <c r="BE16" s="81"/>
      <c r="BF16" s="81"/>
      <c r="BG16" s="81"/>
      <c r="BH16" s="81"/>
    </row>
    <row r="17" spans="1:60" ht="42.75" customHeight="1" x14ac:dyDescent="0.3">
      <c r="A17" s="14" t="s">
        <v>230</v>
      </c>
      <c r="B17" s="82" t="s">
        <v>414</v>
      </c>
      <c r="C17" s="17" t="s">
        <v>415</v>
      </c>
      <c r="D17" s="16"/>
      <c r="E17" s="24" t="s">
        <v>67</v>
      </c>
      <c r="F17" s="32">
        <v>2022</v>
      </c>
      <c r="G17" s="19">
        <v>44679</v>
      </c>
      <c r="H17" s="23" t="s">
        <v>68</v>
      </c>
      <c r="I17" s="23"/>
      <c r="J17" s="23"/>
      <c r="K17" s="59"/>
      <c r="L17" s="59"/>
      <c r="M17" s="23"/>
      <c r="N17" s="16">
        <v>65</v>
      </c>
      <c r="O17" s="34"/>
      <c r="P17" s="23"/>
      <c r="Q17" s="16"/>
      <c r="R17" s="16" t="s">
        <v>218</v>
      </c>
      <c r="S17" s="23"/>
      <c r="T17" s="23"/>
      <c r="U17" s="16"/>
      <c r="V17" s="16"/>
      <c r="W17" s="23"/>
      <c r="X17" s="23"/>
      <c r="Y17" s="23"/>
      <c r="Z17" s="23"/>
      <c r="AA17" s="23"/>
      <c r="AB17" s="23"/>
      <c r="AC17" s="36">
        <v>49</v>
      </c>
      <c r="AD17" s="36"/>
      <c r="AE17" s="36"/>
      <c r="AF17" s="27"/>
      <c r="AG17" s="36"/>
      <c r="AH17" s="36"/>
      <c r="AI17" s="23"/>
      <c r="AJ17" s="23"/>
      <c r="AK17" s="88"/>
      <c r="AL17" s="85"/>
      <c r="AM17" s="85"/>
      <c r="AN17" s="94"/>
      <c r="AO17" s="45"/>
      <c r="AP17" s="45"/>
      <c r="AQ17" s="81"/>
      <c r="AR17" s="81"/>
      <c r="AS17" s="81"/>
      <c r="AT17" s="81"/>
      <c r="AU17" s="81"/>
      <c r="AV17" s="81"/>
      <c r="AW17" s="81"/>
      <c r="AX17" s="81"/>
      <c r="AY17" s="81"/>
      <c r="AZ17" s="81"/>
      <c r="BA17" s="81"/>
      <c r="BB17" s="81"/>
      <c r="BC17" s="81"/>
      <c r="BD17" s="81"/>
      <c r="BE17" s="81"/>
      <c r="BF17" s="81"/>
      <c r="BG17" s="81"/>
      <c r="BH17" s="81"/>
    </row>
    <row r="18" spans="1:60" ht="42.75" customHeight="1" x14ac:dyDescent="0.3">
      <c r="A18" s="14" t="s">
        <v>230</v>
      </c>
      <c r="B18" s="82" t="s">
        <v>416</v>
      </c>
      <c r="C18" s="17" t="s">
        <v>417</v>
      </c>
      <c r="D18" s="16"/>
      <c r="E18" s="24" t="s">
        <v>67</v>
      </c>
      <c r="F18" s="32">
        <v>2022</v>
      </c>
      <c r="G18" s="19">
        <v>44706</v>
      </c>
      <c r="H18" s="23" t="s">
        <v>68</v>
      </c>
      <c r="I18" s="23"/>
      <c r="J18" s="23"/>
      <c r="K18" s="59"/>
      <c r="L18" s="59"/>
      <c r="M18" s="23"/>
      <c r="N18" s="16">
        <v>62</v>
      </c>
      <c r="O18" s="34"/>
      <c r="P18" s="23"/>
      <c r="Q18" s="16"/>
      <c r="R18" s="16" t="s">
        <v>218</v>
      </c>
      <c r="S18" s="23"/>
      <c r="T18" s="23"/>
      <c r="U18" s="16"/>
      <c r="V18" s="16"/>
      <c r="W18" s="23"/>
      <c r="X18" s="23"/>
      <c r="Y18" s="23"/>
      <c r="Z18" s="23"/>
      <c r="AA18" s="23"/>
      <c r="AB18" s="23"/>
      <c r="AC18" s="36">
        <v>49</v>
      </c>
      <c r="AD18" s="36"/>
      <c r="AE18" s="36"/>
      <c r="AF18" s="27"/>
      <c r="AG18" s="36"/>
      <c r="AH18" s="36"/>
      <c r="AI18" s="23"/>
      <c r="AJ18" s="23"/>
      <c r="AK18" s="88"/>
      <c r="AL18" s="85"/>
      <c r="AM18" s="85"/>
      <c r="AN18" s="94"/>
      <c r="AO18" s="45"/>
      <c r="AP18" s="45"/>
      <c r="AQ18" s="81"/>
      <c r="AR18" s="81"/>
      <c r="AS18" s="81"/>
      <c r="AT18" s="81"/>
      <c r="AU18" s="81"/>
      <c r="AV18" s="81"/>
      <c r="AW18" s="81"/>
      <c r="AX18" s="81"/>
      <c r="AY18" s="81"/>
      <c r="AZ18" s="81"/>
      <c r="BA18" s="81"/>
      <c r="BB18" s="81"/>
      <c r="BC18" s="81"/>
      <c r="BD18" s="81"/>
      <c r="BE18" s="81"/>
      <c r="BF18" s="81"/>
      <c r="BG18" s="81"/>
      <c r="BH18" s="81"/>
    </row>
    <row r="19" spans="1:60" ht="191.4" x14ac:dyDescent="0.3">
      <c r="A19" s="14" t="s">
        <v>230</v>
      </c>
      <c r="B19" s="82" t="s">
        <v>418</v>
      </c>
      <c r="C19" s="17" t="s">
        <v>419</v>
      </c>
      <c r="D19" s="16"/>
      <c r="E19" s="24" t="s">
        <v>67</v>
      </c>
      <c r="F19" s="32">
        <v>2022</v>
      </c>
      <c r="G19" s="19">
        <v>44867</v>
      </c>
      <c r="H19" s="23"/>
      <c r="I19" s="23"/>
      <c r="J19" s="23"/>
      <c r="K19" s="59"/>
      <c r="L19" s="59"/>
      <c r="M19" s="23"/>
      <c r="N19" s="16">
        <v>89</v>
      </c>
      <c r="O19" s="34" t="s">
        <v>420</v>
      </c>
      <c r="P19" s="23">
        <v>89000</v>
      </c>
      <c r="Q19" s="23" t="s">
        <v>421</v>
      </c>
      <c r="R19" s="23" t="s">
        <v>218</v>
      </c>
      <c r="S19" s="23"/>
      <c r="T19" s="23"/>
      <c r="U19" s="16"/>
      <c r="V19" s="16"/>
      <c r="W19" s="23"/>
      <c r="X19" s="23"/>
      <c r="Y19" s="23"/>
      <c r="Z19" s="23"/>
      <c r="AA19" s="23"/>
      <c r="AB19" s="23"/>
      <c r="AC19" s="36">
        <v>49</v>
      </c>
      <c r="AD19" s="36"/>
      <c r="AE19" s="36"/>
      <c r="AF19" s="27"/>
      <c r="AG19" s="36"/>
      <c r="AH19" s="36"/>
      <c r="AI19" s="23"/>
      <c r="AJ19" s="23"/>
      <c r="AK19" s="88"/>
      <c r="AL19" s="85"/>
      <c r="AM19" s="85"/>
      <c r="AN19" s="94"/>
      <c r="AO19" s="45"/>
      <c r="AP19" s="45"/>
      <c r="AQ19" s="81"/>
      <c r="AR19" s="81"/>
      <c r="AS19" s="81"/>
      <c r="AT19" s="81"/>
      <c r="AU19" s="81"/>
      <c r="AV19" s="81"/>
      <c r="AW19" s="81"/>
      <c r="AX19" s="81"/>
      <c r="AY19" s="81"/>
      <c r="AZ19" s="81"/>
      <c r="BA19" s="81"/>
      <c r="BB19" s="81"/>
      <c r="BC19" s="81"/>
      <c r="BD19" s="81"/>
      <c r="BE19" s="81"/>
      <c r="BF19" s="81"/>
      <c r="BG19" s="81"/>
      <c r="BH19" s="81"/>
    </row>
    <row r="20" spans="1:60" ht="46.8" x14ac:dyDescent="0.3">
      <c r="A20" s="44" t="s">
        <v>43</v>
      </c>
      <c r="B20" s="82" t="s">
        <v>422</v>
      </c>
      <c r="C20" s="17" t="s">
        <v>423</v>
      </c>
      <c r="D20" s="18" t="s">
        <v>424</v>
      </c>
      <c r="E20" s="16" t="s">
        <v>81</v>
      </c>
      <c r="F20" s="16"/>
      <c r="G20" s="19"/>
      <c r="H20" s="16" t="s">
        <v>68</v>
      </c>
      <c r="I20" s="16" t="s">
        <v>357</v>
      </c>
      <c r="J20" s="16"/>
      <c r="K20" s="23" t="s">
        <v>335</v>
      </c>
      <c r="L20" s="23" t="s">
        <v>336</v>
      </c>
      <c r="M20" s="16"/>
      <c r="N20" s="16" t="s">
        <v>70</v>
      </c>
      <c r="O20" s="16">
        <v>57</v>
      </c>
      <c r="P20" s="16" t="s">
        <v>425</v>
      </c>
      <c r="Q20" s="16">
        <v>57420</v>
      </c>
      <c r="R20" s="16" t="s">
        <v>426</v>
      </c>
      <c r="S20" s="16" t="s">
        <v>427</v>
      </c>
      <c r="T20" s="16" t="s">
        <v>428</v>
      </c>
      <c r="U20" s="16" t="s">
        <v>429</v>
      </c>
      <c r="V20" s="16" t="s">
        <v>430</v>
      </c>
      <c r="W20" s="16" t="s">
        <v>431</v>
      </c>
      <c r="X20" s="16"/>
      <c r="Y20" s="16"/>
      <c r="Z20" s="16" t="s">
        <v>432</v>
      </c>
      <c r="AA20" s="16"/>
      <c r="AB20" s="16"/>
      <c r="AC20" s="16"/>
      <c r="AD20" s="16"/>
      <c r="AE20" s="27"/>
      <c r="AF20" s="27"/>
      <c r="AG20" s="27"/>
      <c r="AH20" s="27"/>
      <c r="AI20" s="27"/>
      <c r="AJ20" s="27"/>
      <c r="AK20" s="45"/>
      <c r="AL20" s="79"/>
      <c r="AM20" s="79"/>
      <c r="AN20" s="45"/>
      <c r="AO20" s="45"/>
      <c r="AP20" s="45"/>
      <c r="AQ20" s="81"/>
      <c r="AR20" s="81"/>
      <c r="AS20" s="81"/>
      <c r="AT20" s="81"/>
      <c r="AU20" s="81"/>
      <c r="AV20" s="81"/>
      <c r="AW20" s="81"/>
      <c r="AX20" s="81"/>
      <c r="AY20" s="81"/>
      <c r="AZ20" s="81"/>
      <c r="BA20" s="81"/>
      <c r="BB20" s="81"/>
      <c r="BC20" s="81"/>
      <c r="BD20" s="81"/>
      <c r="BE20" s="81"/>
      <c r="BF20" s="81"/>
      <c r="BG20" s="81"/>
      <c r="BH20" s="81"/>
    </row>
    <row r="21" spans="1:60" ht="139.19999999999999" x14ac:dyDescent="0.3">
      <c r="A21" s="14" t="s">
        <v>43</v>
      </c>
      <c r="B21" s="82" t="s">
        <v>433</v>
      </c>
      <c r="C21" s="17" t="s">
        <v>434</v>
      </c>
      <c r="D21" s="16">
        <v>1700</v>
      </c>
      <c r="E21" s="24" t="s">
        <v>67</v>
      </c>
      <c r="F21" s="18">
        <v>2025</v>
      </c>
      <c r="G21" s="19">
        <v>45692</v>
      </c>
      <c r="H21" s="23" t="s">
        <v>435</v>
      </c>
      <c r="I21" s="23" t="s">
        <v>247</v>
      </c>
      <c r="J21" s="16"/>
      <c r="K21" s="23" t="s">
        <v>335</v>
      </c>
      <c r="L21" s="23" t="s">
        <v>336</v>
      </c>
      <c r="M21" s="23" t="s">
        <v>70</v>
      </c>
      <c r="N21" s="16">
        <v>57</v>
      </c>
      <c r="O21" s="17" t="s">
        <v>436</v>
      </c>
      <c r="P21" s="16">
        <v>57100</v>
      </c>
      <c r="Q21" s="16" t="s">
        <v>437</v>
      </c>
      <c r="R21" s="16" t="s">
        <v>438</v>
      </c>
      <c r="S21" s="16" t="s">
        <v>439</v>
      </c>
      <c r="T21" s="16" t="s">
        <v>440</v>
      </c>
      <c r="U21" s="83" t="s">
        <v>441</v>
      </c>
      <c r="V21" s="16" t="s">
        <v>47</v>
      </c>
      <c r="W21" s="16" t="s">
        <v>442</v>
      </c>
      <c r="X21" s="16"/>
      <c r="Y21" s="16"/>
      <c r="Z21" s="16"/>
      <c r="AA21" s="16"/>
      <c r="AB21" s="16"/>
      <c r="AC21" s="16">
        <v>95</v>
      </c>
      <c r="AD21" s="16" t="s">
        <v>178</v>
      </c>
      <c r="AE21" s="16" t="s">
        <v>179</v>
      </c>
      <c r="AF21" s="27" t="s">
        <v>180</v>
      </c>
      <c r="AG21" s="27"/>
      <c r="AH21" s="27"/>
      <c r="AI21" s="16"/>
      <c r="AJ21" s="16"/>
      <c r="AK21" s="88"/>
      <c r="AL21" s="79">
        <v>1</v>
      </c>
      <c r="AM21" s="79"/>
      <c r="AN21" s="94"/>
      <c r="AO21" s="45">
        <v>1</v>
      </c>
      <c r="AP21" s="45"/>
      <c r="AQ21" s="81"/>
      <c r="AR21" s="81"/>
      <c r="AS21" s="81"/>
      <c r="AT21" s="81"/>
      <c r="AU21" s="81"/>
      <c r="AV21" s="81"/>
      <c r="AW21" s="81"/>
      <c r="AX21" s="81"/>
      <c r="AY21" s="81"/>
      <c r="AZ21" s="81"/>
      <c r="BA21" s="81"/>
      <c r="BB21" s="81"/>
      <c r="BC21" s="81"/>
      <c r="BD21" s="81"/>
      <c r="BE21" s="81"/>
      <c r="BF21" s="81"/>
      <c r="BG21" s="81"/>
      <c r="BH21" s="81"/>
    </row>
    <row r="22" spans="1:60" ht="31.2" x14ac:dyDescent="0.3">
      <c r="A22" s="14" t="s">
        <v>230</v>
      </c>
      <c r="B22" s="82" t="s">
        <v>443</v>
      </c>
      <c r="C22" s="17" t="s">
        <v>444</v>
      </c>
      <c r="D22" s="16"/>
      <c r="E22" s="24" t="s">
        <v>67</v>
      </c>
      <c r="F22" s="32">
        <v>2022</v>
      </c>
      <c r="G22" s="19">
        <v>44670</v>
      </c>
      <c r="H22" s="23" t="s">
        <v>68</v>
      </c>
      <c r="I22" s="23"/>
      <c r="J22" s="23"/>
      <c r="K22" s="59"/>
      <c r="L22" s="59"/>
      <c r="M22" s="23"/>
      <c r="N22" s="16">
        <v>18</v>
      </c>
      <c r="O22" s="34"/>
      <c r="P22" s="23"/>
      <c r="Q22" s="23"/>
      <c r="R22" s="23" t="s">
        <v>218</v>
      </c>
      <c r="S22" s="23"/>
      <c r="T22" s="23"/>
      <c r="U22" s="16"/>
      <c r="V22" s="16"/>
      <c r="W22" s="23"/>
      <c r="X22" s="23"/>
      <c r="Y22" s="23"/>
      <c r="Z22" s="23"/>
      <c r="AA22" s="23"/>
      <c r="AB22" s="23"/>
      <c r="AC22" s="36">
        <v>49</v>
      </c>
      <c r="AD22" s="36"/>
      <c r="AE22" s="36"/>
      <c r="AF22" s="27"/>
      <c r="AG22" s="36"/>
      <c r="AH22" s="36"/>
      <c r="AI22" s="23"/>
      <c r="AJ22" s="23"/>
      <c r="AK22" s="88"/>
      <c r="AL22" s="85"/>
      <c r="AM22" s="85"/>
      <c r="AN22" s="94"/>
      <c r="AO22" s="45"/>
      <c r="AP22" s="45"/>
      <c r="AQ22" s="81"/>
      <c r="AR22" s="81"/>
      <c r="AS22" s="81"/>
      <c r="AT22" s="81"/>
      <c r="AU22" s="81"/>
      <c r="AV22" s="81"/>
      <c r="AW22" s="81"/>
      <c r="AX22" s="81"/>
      <c r="AY22" s="81"/>
      <c r="AZ22" s="81"/>
      <c r="BA22" s="81"/>
      <c r="BB22" s="81"/>
      <c r="BC22" s="81"/>
      <c r="BD22" s="81"/>
      <c r="BE22" s="81"/>
      <c r="BF22" s="81"/>
      <c r="BG22" s="81"/>
      <c r="BH22" s="81"/>
    </row>
    <row r="23" spans="1:60" ht="62.4" x14ac:dyDescent="0.3">
      <c r="A23" s="14" t="s">
        <v>43</v>
      </c>
      <c r="B23" s="82" t="s">
        <v>445</v>
      </c>
      <c r="C23" s="17" t="s">
        <v>446</v>
      </c>
      <c r="D23" s="16">
        <v>500</v>
      </c>
      <c r="E23" s="24" t="s">
        <v>67</v>
      </c>
      <c r="F23" s="18">
        <v>2021</v>
      </c>
      <c r="G23" s="33">
        <v>44484</v>
      </c>
      <c r="H23" s="23" t="s">
        <v>68</v>
      </c>
      <c r="I23" s="23"/>
      <c r="J23" s="23"/>
      <c r="K23" s="23" t="s">
        <v>343</v>
      </c>
      <c r="L23" s="23" t="s">
        <v>344</v>
      </c>
      <c r="M23" s="23" t="s">
        <v>50</v>
      </c>
      <c r="N23" s="23" t="s">
        <v>447</v>
      </c>
      <c r="O23" s="34" t="s">
        <v>448</v>
      </c>
      <c r="P23" s="23">
        <v>86000</v>
      </c>
      <c r="Q23" s="23" t="s">
        <v>449</v>
      </c>
      <c r="R23" s="23" t="s">
        <v>450</v>
      </c>
      <c r="S23" s="23" t="s">
        <v>451</v>
      </c>
      <c r="T23" s="23" t="s">
        <v>452</v>
      </c>
      <c r="U23" s="91" t="s">
        <v>453</v>
      </c>
      <c r="V23" s="16" t="s">
        <v>454</v>
      </c>
      <c r="W23" s="16" t="s">
        <v>47</v>
      </c>
      <c r="X23" s="16" t="s">
        <v>47</v>
      </c>
      <c r="Y23" s="16"/>
      <c r="Z23" s="16" t="s">
        <v>78</v>
      </c>
      <c r="AA23" s="16" t="s">
        <v>79</v>
      </c>
      <c r="AB23" s="23" t="s">
        <v>455</v>
      </c>
      <c r="AC23" s="36">
        <v>95</v>
      </c>
      <c r="AD23" s="36">
        <v>20</v>
      </c>
      <c r="AE23" s="36">
        <f t="shared" ref="AE23:AE24" si="0">AC23-AD23</f>
        <v>75</v>
      </c>
      <c r="AF23" s="36">
        <v>0</v>
      </c>
      <c r="AG23" s="36">
        <f t="shared" ref="AG23:AG24" si="1">AE23-AF23</f>
        <v>75</v>
      </c>
      <c r="AH23" s="36">
        <f t="shared" ref="AH23:AH24" si="2">AG23</f>
        <v>75</v>
      </c>
      <c r="AI23" s="23"/>
      <c r="AJ23" s="23"/>
      <c r="AK23" s="88"/>
      <c r="AL23" s="85"/>
      <c r="AM23" s="85"/>
      <c r="AN23" s="94"/>
      <c r="AO23" s="45"/>
      <c r="AP23" s="45"/>
      <c r="AQ23" s="81"/>
      <c r="AR23" s="81"/>
      <c r="AS23" s="81"/>
      <c r="AT23" s="81"/>
      <c r="AU23" s="81"/>
      <c r="AV23" s="81"/>
      <c r="AW23" s="81"/>
      <c r="AX23" s="81"/>
      <c r="AY23" s="81"/>
      <c r="AZ23" s="81"/>
      <c r="BA23" s="81"/>
      <c r="BB23" s="81"/>
      <c r="BC23" s="81"/>
      <c r="BD23" s="81"/>
      <c r="BE23" s="81"/>
      <c r="BF23" s="81"/>
      <c r="BG23" s="81"/>
      <c r="BH23" s="81"/>
    </row>
    <row r="24" spans="1:60" ht="62.4" x14ac:dyDescent="0.3">
      <c r="A24" s="14" t="s">
        <v>43</v>
      </c>
      <c r="B24" s="82" t="s">
        <v>445</v>
      </c>
      <c r="C24" s="95" t="s">
        <v>456</v>
      </c>
      <c r="D24" s="16">
        <v>500</v>
      </c>
      <c r="E24" s="24" t="s">
        <v>67</v>
      </c>
      <c r="F24" s="18">
        <v>2021</v>
      </c>
      <c r="G24" s="33">
        <v>44484</v>
      </c>
      <c r="H24" s="23" t="s">
        <v>68</v>
      </c>
      <c r="I24" s="23"/>
      <c r="J24" s="23"/>
      <c r="K24" s="23" t="s">
        <v>333</v>
      </c>
      <c r="L24" s="23" t="s">
        <v>334</v>
      </c>
      <c r="M24" s="23" t="s">
        <v>50</v>
      </c>
      <c r="N24" s="23" t="s">
        <v>447</v>
      </c>
      <c r="O24" s="34" t="s">
        <v>457</v>
      </c>
      <c r="P24" s="23">
        <v>65000</v>
      </c>
      <c r="Q24" s="23" t="s">
        <v>458</v>
      </c>
      <c r="R24" s="23" t="s">
        <v>450</v>
      </c>
      <c r="S24" s="23" t="s">
        <v>451</v>
      </c>
      <c r="T24" s="23" t="s">
        <v>452</v>
      </c>
      <c r="U24" s="96" t="s">
        <v>453</v>
      </c>
      <c r="V24" s="16" t="s">
        <v>454</v>
      </c>
      <c r="W24" s="16" t="s">
        <v>47</v>
      </c>
      <c r="X24" s="16" t="s">
        <v>47</v>
      </c>
      <c r="Y24" s="16"/>
      <c r="Z24" s="16" t="s">
        <v>78</v>
      </c>
      <c r="AA24" s="16" t="s">
        <v>79</v>
      </c>
      <c r="AB24" s="23" t="s">
        <v>455</v>
      </c>
      <c r="AC24" s="36">
        <v>95</v>
      </c>
      <c r="AD24" s="36">
        <v>20</v>
      </c>
      <c r="AE24" s="36">
        <f t="shared" si="0"/>
        <v>75</v>
      </c>
      <c r="AF24" s="36">
        <v>0</v>
      </c>
      <c r="AG24" s="36">
        <f t="shared" si="1"/>
        <v>75</v>
      </c>
      <c r="AH24" s="36">
        <f t="shared" si="2"/>
        <v>75</v>
      </c>
      <c r="AI24" s="23"/>
      <c r="AJ24" s="23"/>
      <c r="AK24" s="88"/>
      <c r="AL24" s="97"/>
      <c r="AM24" s="85"/>
      <c r="AN24" s="94"/>
      <c r="AO24" s="81"/>
      <c r="AP24" s="45"/>
      <c r="AQ24" s="81"/>
      <c r="AR24" s="81"/>
      <c r="AS24" s="81"/>
      <c r="AT24" s="81"/>
      <c r="AU24" s="81"/>
      <c r="AV24" s="81"/>
      <c r="AW24" s="81"/>
      <c r="AX24" s="81"/>
      <c r="AY24" s="81"/>
      <c r="AZ24" s="81"/>
      <c r="BA24" s="81"/>
      <c r="BB24" s="81"/>
      <c r="BC24" s="81"/>
      <c r="BD24" s="81"/>
      <c r="BE24" s="81"/>
      <c r="BF24" s="81"/>
      <c r="BG24" s="81"/>
      <c r="BH24" s="81"/>
    </row>
    <row r="25" spans="1:60" ht="46.8" x14ac:dyDescent="0.3">
      <c r="A25" s="44" t="s">
        <v>43</v>
      </c>
      <c r="B25" s="82" t="s">
        <v>459</v>
      </c>
      <c r="C25" s="17" t="s">
        <v>460</v>
      </c>
      <c r="D25" s="18" t="s">
        <v>461</v>
      </c>
      <c r="E25" s="16" t="s">
        <v>81</v>
      </c>
      <c r="F25" s="16"/>
      <c r="G25" s="19"/>
      <c r="H25" s="16" t="s">
        <v>68</v>
      </c>
      <c r="I25" s="16" t="s">
        <v>357</v>
      </c>
      <c r="J25" s="16"/>
      <c r="K25" s="23" t="s">
        <v>335</v>
      </c>
      <c r="L25" s="23" t="s">
        <v>336</v>
      </c>
      <c r="M25" s="16"/>
      <c r="N25" s="16" t="s">
        <v>70</v>
      </c>
      <c r="O25" s="16">
        <v>57</v>
      </c>
      <c r="P25" s="16" t="s">
        <v>462</v>
      </c>
      <c r="Q25" s="16">
        <v>57365</v>
      </c>
      <c r="R25" s="16" t="s">
        <v>463</v>
      </c>
      <c r="S25" s="16" t="s">
        <v>464</v>
      </c>
      <c r="T25" s="16" t="s">
        <v>465</v>
      </c>
      <c r="U25" s="16" t="s">
        <v>466</v>
      </c>
      <c r="V25" s="16" t="s">
        <v>467</v>
      </c>
      <c r="W25" s="16" t="s">
        <v>468</v>
      </c>
      <c r="X25" s="16"/>
      <c r="Y25" s="16"/>
      <c r="Z25" s="16" t="s">
        <v>469</v>
      </c>
      <c r="AA25" s="16"/>
      <c r="AB25" s="16"/>
      <c r="AC25" s="16"/>
      <c r="AD25" s="16"/>
      <c r="AE25" s="27"/>
      <c r="AF25" s="27"/>
      <c r="AG25" s="27"/>
      <c r="AH25" s="27"/>
      <c r="AI25" s="27"/>
      <c r="AJ25" s="27"/>
      <c r="AK25" s="45"/>
      <c r="AL25" s="79"/>
      <c r="AM25" s="79"/>
      <c r="AN25" s="45"/>
      <c r="AO25" s="45"/>
      <c r="AP25" s="45"/>
      <c r="AQ25" s="81"/>
      <c r="AR25" s="81"/>
      <c r="AS25" s="81"/>
      <c r="AT25" s="81"/>
      <c r="AU25" s="81"/>
      <c r="AV25" s="81"/>
      <c r="AW25" s="81"/>
      <c r="AX25" s="81"/>
      <c r="AY25" s="81"/>
      <c r="AZ25" s="81"/>
      <c r="BA25" s="81"/>
      <c r="BB25" s="81"/>
      <c r="BC25" s="81"/>
      <c r="BD25" s="81"/>
      <c r="BE25" s="81"/>
      <c r="BF25" s="81"/>
      <c r="BG25" s="81"/>
      <c r="BH25" s="81"/>
    </row>
    <row r="26" spans="1:60" ht="78" x14ac:dyDescent="0.3">
      <c r="A26" s="14" t="s">
        <v>156</v>
      </c>
      <c r="B26" s="82" t="s">
        <v>157</v>
      </c>
      <c r="C26" s="17" t="s">
        <v>158</v>
      </c>
      <c r="D26" s="16">
        <v>195</v>
      </c>
      <c r="E26" s="24" t="s">
        <v>67</v>
      </c>
      <c r="F26" s="32">
        <v>2023</v>
      </c>
      <c r="G26" s="33">
        <v>44962</v>
      </c>
      <c r="H26" s="23" t="s">
        <v>159</v>
      </c>
      <c r="I26" s="23" t="s">
        <v>160</v>
      </c>
      <c r="J26" s="23"/>
      <c r="K26" s="23" t="s">
        <v>470</v>
      </c>
      <c r="L26" s="23" t="s">
        <v>471</v>
      </c>
      <c r="M26" s="16" t="s">
        <v>50</v>
      </c>
      <c r="N26" s="16">
        <v>18</v>
      </c>
      <c r="O26" s="34"/>
      <c r="P26" s="23"/>
      <c r="Q26" s="16" t="s">
        <v>163</v>
      </c>
      <c r="R26" s="16" t="s">
        <v>164</v>
      </c>
      <c r="S26" s="16" t="s">
        <v>165</v>
      </c>
      <c r="T26" s="23" t="s">
        <v>166</v>
      </c>
      <c r="U26" s="16" t="s">
        <v>167</v>
      </c>
      <c r="V26" s="16"/>
      <c r="W26" s="23"/>
      <c r="X26" s="23"/>
      <c r="Y26" s="23"/>
      <c r="Z26" s="23"/>
      <c r="AA26" s="23"/>
      <c r="AB26" s="23"/>
      <c r="AC26" s="36">
        <v>49</v>
      </c>
      <c r="AD26" s="36"/>
      <c r="AE26" s="36"/>
      <c r="AF26" s="27"/>
      <c r="AG26" s="36"/>
      <c r="AH26" s="36"/>
      <c r="AI26" s="23"/>
      <c r="AJ26" s="23"/>
      <c r="AK26" s="88"/>
      <c r="AL26" s="85"/>
      <c r="AM26" s="85"/>
      <c r="AN26" s="94"/>
      <c r="AO26" s="45"/>
      <c r="AP26" s="45"/>
      <c r="AQ26" s="81"/>
      <c r="AR26" s="81"/>
      <c r="AS26" s="81"/>
      <c r="AT26" s="81"/>
      <c r="AU26" s="81"/>
      <c r="AV26" s="81"/>
      <c r="AW26" s="81"/>
      <c r="AX26" s="81"/>
      <c r="AY26" s="81"/>
      <c r="AZ26" s="81"/>
      <c r="BA26" s="81"/>
      <c r="BB26" s="81"/>
      <c r="BC26" s="81"/>
      <c r="BD26" s="81"/>
      <c r="BE26" s="81"/>
      <c r="BF26" s="81"/>
      <c r="BG26" s="81"/>
      <c r="BH26" s="81"/>
    </row>
    <row r="27" spans="1:60" ht="62.4" x14ac:dyDescent="0.3">
      <c r="A27" s="14" t="s">
        <v>43</v>
      </c>
      <c r="B27" s="82" t="s">
        <v>472</v>
      </c>
      <c r="C27" s="17" t="s">
        <v>473</v>
      </c>
      <c r="D27" s="16">
        <v>250</v>
      </c>
      <c r="E27" s="24" t="s">
        <v>67</v>
      </c>
      <c r="F27" s="32">
        <v>2024</v>
      </c>
      <c r="G27" s="33">
        <v>45362</v>
      </c>
      <c r="H27" s="23" t="s">
        <v>68</v>
      </c>
      <c r="I27" s="23" t="s">
        <v>474</v>
      </c>
      <c r="J27" s="23" t="s">
        <v>475</v>
      </c>
      <c r="K27" s="23" t="s">
        <v>476</v>
      </c>
      <c r="L27" s="23" t="s">
        <v>477</v>
      </c>
      <c r="M27" s="23" t="s">
        <v>50</v>
      </c>
      <c r="N27" s="23">
        <v>59</v>
      </c>
      <c r="O27" s="34" t="s">
        <v>478</v>
      </c>
      <c r="P27" s="23">
        <v>59690</v>
      </c>
      <c r="Q27" s="23" t="s">
        <v>479</v>
      </c>
      <c r="R27" s="23" t="s">
        <v>480</v>
      </c>
      <c r="S27" s="23" t="s">
        <v>481</v>
      </c>
      <c r="T27" s="23" t="s">
        <v>55</v>
      </c>
      <c r="U27" s="83" t="s">
        <v>482</v>
      </c>
      <c r="V27" s="16" t="s">
        <v>47</v>
      </c>
      <c r="W27" s="23" t="s">
        <v>483</v>
      </c>
      <c r="X27" s="23"/>
      <c r="Y27" s="16"/>
      <c r="Z27" s="16" t="s">
        <v>484</v>
      </c>
      <c r="AA27" s="16" t="s">
        <v>79</v>
      </c>
      <c r="AB27" s="23"/>
      <c r="AC27" s="36">
        <v>95</v>
      </c>
      <c r="AD27" s="36">
        <v>20</v>
      </c>
      <c r="AE27" s="36">
        <f t="shared" ref="AE27:AE28" si="3">AC27-AD27</f>
        <v>75</v>
      </c>
      <c r="AF27" s="36">
        <v>0</v>
      </c>
      <c r="AG27" s="36">
        <f t="shared" ref="AG27:AG28" si="4">AE27-AF27</f>
        <v>75</v>
      </c>
      <c r="AH27" s="36">
        <f t="shared" ref="AH27:AH28" si="5">AG27</f>
        <v>75</v>
      </c>
      <c r="AI27" s="23"/>
      <c r="AJ27" s="23"/>
      <c r="AK27" s="88"/>
      <c r="AL27" s="85"/>
      <c r="AM27" s="85"/>
      <c r="AN27" s="94"/>
      <c r="AO27" s="45"/>
      <c r="AP27" s="45"/>
      <c r="AQ27" s="81"/>
      <c r="AR27" s="81"/>
      <c r="AS27" s="81"/>
      <c r="AT27" s="81"/>
      <c r="AU27" s="81"/>
      <c r="AV27" s="81"/>
      <c r="AW27" s="81"/>
      <c r="AX27" s="81"/>
      <c r="AY27" s="81"/>
      <c r="AZ27" s="81"/>
      <c r="BA27" s="81"/>
      <c r="BB27" s="81"/>
      <c r="BC27" s="81"/>
      <c r="BD27" s="81"/>
      <c r="BE27" s="81"/>
      <c r="BF27" s="81"/>
      <c r="BG27" s="81"/>
      <c r="BH27" s="81"/>
    </row>
    <row r="28" spans="1:60" ht="62.4" x14ac:dyDescent="0.3">
      <c r="A28" s="14" t="s">
        <v>156</v>
      </c>
      <c r="B28" s="82" t="s">
        <v>485</v>
      </c>
      <c r="C28" s="17" t="s">
        <v>486</v>
      </c>
      <c r="D28" s="16">
        <v>77</v>
      </c>
      <c r="E28" s="24" t="s">
        <v>67</v>
      </c>
      <c r="F28" s="98">
        <v>2023</v>
      </c>
      <c r="G28" s="33">
        <v>45222</v>
      </c>
      <c r="H28" s="23" t="s">
        <v>68</v>
      </c>
      <c r="I28" s="23"/>
      <c r="J28" s="23"/>
      <c r="K28" s="99" t="s">
        <v>487</v>
      </c>
      <c r="L28" s="99" t="s">
        <v>488</v>
      </c>
      <c r="M28" s="16" t="s">
        <v>489</v>
      </c>
      <c r="N28" s="66" t="s">
        <v>490</v>
      </c>
      <c r="O28" s="34" t="s">
        <v>491</v>
      </c>
      <c r="P28" s="23">
        <v>85300</v>
      </c>
      <c r="Q28" s="23" t="s">
        <v>492</v>
      </c>
      <c r="R28" s="23" t="s">
        <v>493</v>
      </c>
      <c r="S28" s="23" t="s">
        <v>494</v>
      </c>
      <c r="T28" s="23" t="s">
        <v>324</v>
      </c>
      <c r="U28" s="83" t="s">
        <v>495</v>
      </c>
      <c r="V28" s="16" t="s">
        <v>47</v>
      </c>
      <c r="W28" s="23" t="s">
        <v>496</v>
      </c>
      <c r="X28" s="23" t="s">
        <v>47</v>
      </c>
      <c r="Y28" s="16"/>
      <c r="Z28" s="16" t="s">
        <v>78</v>
      </c>
      <c r="AA28" s="16" t="s">
        <v>79</v>
      </c>
      <c r="AB28" s="23" t="s">
        <v>497</v>
      </c>
      <c r="AC28" s="36">
        <v>95</v>
      </c>
      <c r="AD28" s="36">
        <v>20</v>
      </c>
      <c r="AE28" s="36">
        <f t="shared" si="3"/>
        <v>75</v>
      </c>
      <c r="AF28" s="36">
        <v>0</v>
      </c>
      <c r="AG28" s="36">
        <f t="shared" si="4"/>
        <v>75</v>
      </c>
      <c r="AH28" s="36">
        <f t="shared" si="5"/>
        <v>75</v>
      </c>
      <c r="AI28" s="23"/>
      <c r="AJ28" s="23"/>
      <c r="AK28" s="92" t="s">
        <v>47</v>
      </c>
      <c r="AL28" s="85">
        <v>0</v>
      </c>
      <c r="AM28" s="85">
        <v>0</v>
      </c>
      <c r="AN28" s="100" t="s">
        <v>47</v>
      </c>
      <c r="AO28" s="45">
        <v>0</v>
      </c>
      <c r="AP28" s="45">
        <v>0</v>
      </c>
      <c r="AQ28" s="81"/>
      <c r="AR28" s="81"/>
      <c r="AS28" s="81"/>
      <c r="AT28" s="81"/>
      <c r="AU28" s="81"/>
      <c r="AV28" s="81"/>
      <c r="AW28" s="81"/>
      <c r="AX28" s="81"/>
      <c r="AY28" s="81"/>
      <c r="AZ28" s="81"/>
      <c r="BA28" s="81"/>
      <c r="BB28" s="81"/>
      <c r="BC28" s="81"/>
      <c r="BD28" s="81"/>
      <c r="BE28" s="81"/>
      <c r="BF28" s="81"/>
      <c r="BG28" s="81"/>
      <c r="BH28" s="81"/>
    </row>
  </sheetData>
  <dataValidations count="19">
    <dataValidation type="list" allowBlank="1" showErrorMessage="1" sqref="K6" xr:uid="{62399150-75D6-4E78-931B-0EA4C28E5F87}">
      <formula1>"BERNIER,AGUIAR,BIRÉ,HÉRAULT,BLIN,BOURREL,BOUCHER,BRAULT,BRETON,CHEVARIN,CUBAUD,CZORNYJ,DANDEC,DELATTRE,DERUELLE,DURAT,FLOREK ,GAUVILLE,GRUAUD,HÉRAULT,HUARD,HUBERT,JACQUART,LABBE,LANDAIS,LE PEVEDIC,MINEAU,SALGUIERO,SINAMO,THIBAUD,TOIX,VERGNE,WEISSENBACHER,"&amp;"DELABI,LEX14,BENOIT,BRUNO,GAILLARD,FAURY,BOUTIN,COLIN"</formula1>
    </dataValidation>
    <dataValidation type="list" allowBlank="1" showErrorMessage="1" sqref="K4 K8:K10 K12 K15:K19 K22" xr:uid="{891F9CFF-0706-4E10-93AE-3C1D060ACBFB}">
      <formula1>"BERNIER,AGUIAR,BIRÉ,HÉRAULT,BLIN,BOURREL,BOUCHER,BRAULT,BRETON,CHEVARIN,CUBAUD,CZORNYJ,DANDEC,DELATTRE,DERUELLE,DURAT,FLOREK ,GAUVILLE,GRUAUD,HÉRAULT,HUARD,HUBERT,JACQUART,LABBE,LANDAIS,LE PEVEDIC,MINEAU,SALGUIERO,SINAMO,THIBAUD,TOIX,VERGNE,WEISSENBACHER,"&amp;"DELABI,LEX14,BENOIT,BRUNO,GAILLARD,FAURY"</formula1>
    </dataValidation>
    <dataValidation type="list" allowBlank="1" showErrorMessage="1" sqref="L3 L5 L7 L11 L13:L14 L20:L21 L23:L27" xr:uid="{B93233D1-38CC-4C5C-80C2-A16D8757CE46}">
      <formula1>"Séverine,Alain,Alexandre,Anthony,Arnaud,Aurélie,Béatrice,Christophe,Elisabeth,Fabien,Francis ,Ghislaine,Hervé,Isabelle ,Karine,Laure,Marie-Hélène,Martin,Maxence,Mélinda,Philippe ,Samuel,Sandrine,Sarah,Thierry,Valérie,Véronique,Victor,Wilfrid,CédriC,Gwlady"&amp;"s,Nathalie,Sabrina,Lisa,Sophie,Bruno,Sandrine  ,Sandrine"</formula1>
    </dataValidation>
    <dataValidation type="list" allowBlank="1" showErrorMessage="1" sqref="I26" xr:uid="{2B7FDF86-579F-4D5D-BAA7-793176F12204}">
      <formula1>"Salon CSE Bordeaux 2025,Contactys,Contactys statut bleu,Contactys statut cyan,Contactys statut jaune,Contactys statut rouge,Contactys statut vert,Contactys statut violet,Boutique LEX14,Parrainage 300 €,SDO62,MGE37,ORDIFORMA 62,CDI79,EBS41,FGTE,Prospection"&amp;",Perso,Démarchage,Opportunité commerciale,Prospection Directe,recommandation,Salon CSE Nantes 2025,Salon CSE Bordeaux 2024,Salon Nancy 2024,Réseau CFDT,Salon CSE,RESEAU PRO,RESEAU UNSA,UNSA transport"</formula1>
    </dataValidation>
    <dataValidation type="list" allowBlank="1" showErrorMessage="1" sqref="I2 I6" xr:uid="{93C1B385-E44B-4C0E-8633-4865B0A9C0BD}">
      <formula1>"Salon CSE Bordeaux 2025,Contactys 2024,Boutique LEX14,Parrainage 300 €,SDO62,MGE37,ORDIFORMA 62,CDI79,EBS41,FGTE,Prospection,Perso,Démarchage,Opportunité commerciale,Prospection Directe,recommandation,Salon CSE Nantes 2025,Salon CSE Bordeaux 2024,Salon Na"&amp;"ncy 2024,Réseau CFDT,Salon CSE,Réseau PRO,Réseau UNSA,UNSA transport,Parrainage,Contactys 2023,Salon Metz 2025,Salon CSE La Rochelle 2025,Click Droit Informatique 79,Salon CSE Poitiers 2025"</formula1>
    </dataValidation>
    <dataValidation type="list" allowBlank="1" showErrorMessage="1" sqref="K3 K5 K7 K11 K13:K14 K20:K21 K23:K27" xr:uid="{B5EF11A4-5B37-4A49-935E-5351AAA67E46}">
      <formula1>"BERNIER,AGUIAR,BIRÉ,HÉRAULT,BLIN,BOURREL,BOUCHER,BRAULT,BRETON,CHEVARIN,CUBAUD,CZORNYJ,DANDEC,DELATTRE,DERUELLE,DURAT,FLOREK ,GAUVILLE,GRUAUD,HÉRAULT,HUARD,HUBERT,JACQUART,LABBE,LANDAIS,LE PEVEDIC,MINEAU,SALGUIERO,SINAMO,THIBAUD,TOIX,VERGNE,WEISSENBACHER,"&amp;"DELABI,LEX14,BENOIT,BIARDOUX,GAILLARD,THIOT,FLOURET,BOUTIN,COLIN,ITS62,LEX14,BROSSARD,CDI79,PCI48,EIM01,EBS41,PCI48,DPC49"</formula1>
    </dataValidation>
    <dataValidation type="list" allowBlank="1" showErrorMessage="1" sqref="L6" xr:uid="{2FFE8682-8426-4208-A118-923BAA46DDCF}">
      <formula1>"Séverine,Alain,Alexandre,Anthony,Arnaud,Aurélie,Béatrice,Christophe,Elisabeth,Fabien,Francis ,Ghislaine,Hervé,Isabelle ,Karine,Laure,Marie-Hélène,Martin,Maxence,Mélinda,Philippe ,Samuel,Sandrine,Sarah,Thierry,Valérie,Véronique,Victor,Wilfrid,CédriC,Gwlady"&amp;"s,Nathalie,Sabrina,Lisa,Sophie,Bruno,Sandrine  ,Sandrine,Francis"</formula1>
    </dataValidation>
    <dataValidation type="list" allowBlank="1" showErrorMessage="1" sqref="L2" xr:uid="{9C1BFB8D-BF24-4171-991A-95A2AF3DC0BB}">
      <formula1>"Séverine,Alain,Alexandre,Anthony,Arnaud,Aurélie,Béatrice,Christophe,Elisabeth,Fabien,Francis ,Ghislaine,Hervé,Isabelle ,Karine,Laure,Marie-Hélène,Martin,Maxence,Mélinda,Philippe ,Samuel,Sandrine,Sarah,Thierry,Valérie,Véronique,Victor,Wilfrid,CédriC,Gwlady"&amp;"s,Nathalie,Sabrina,Lisa,Sophie,Bruno,Sandrine  ,Sandrine,Francis,Olivier"</formula1>
    </dataValidation>
    <dataValidation type="list" allowBlank="1" showErrorMessage="1" sqref="K28" xr:uid="{189E9E3E-9EB0-49F5-BACE-AF8A78501B36}">
      <formula1>"BERNIER,AGUIAR,BIRÉ,HÉRAULT,BLIN,BOURREL,BOUCHER,BRAULT,BRETON,CHEVARIN,CUBAUD,CZORNYJ,DANDEC,DELATTRE,DERUELLE,DURAT,FLOREK ,GAUVILLE,GRUAUD,HÉRAULT,HUARD,HUBERT,JACQUART,LABBE,LANDAIS,LE PEVEDIC,MINEAU,SALGUIERO,SINAMO,THIBAUD,TOIX,VERGNE,WEISSENBACHER,"&amp;"DELABI,LEX14,BENOIT,BRUNO,GAILLARD,ITS62,COLIN"</formula1>
    </dataValidation>
    <dataValidation type="list" allowBlank="1" showErrorMessage="1" sqref="I7 I13 I20 I25" xr:uid="{D2E97538-B712-4DF7-8187-4C0313ED2656}">
      <formula1>"Salon CSE Bordeaux 2025,Contactys 2024,Boutique LEX14,Parrainage 300 €,SDO62,MGE37,ORDIFORMA 62,CDI79,EBS41,FGTE,Prospection,Perso,Démarchage,Opportunité commerciale,Prospection Directe,recommandation,Salon CSE Nantes 2025,Salon CSE Bordeaux 2024,Salon Na"&amp;"ncy 2024,Réseau CFDT,Salon CSE,Réseau PRO,Réseau UNSA,UNSA transport,Parrainage,Contactys 2023,Salon Metz 2025,Salon CSE La Rochelle 2025,Salon CSE Nantes 2024,CFDT"</formula1>
    </dataValidation>
    <dataValidation type="list" allowBlank="1" showErrorMessage="1" sqref="I3:I5 I8:I12 I14:I19 I21:I24 I27:I28" xr:uid="{5B5FD82A-CFCC-46A1-B5CD-787C4A7C40BC}">
      <formula1>"Salon CSE Bordeaux 2025,Contactys 2024,Boutique LEX14,Parrainage 300 €,SDO62,MGE37,ORDIFORMA 62,CDI79,EBS41,FGTE,Prospection,Perso,Démarchage,Opportunité commerciale,Prospection Directe,recommandation,Salon CSE Nantes 2025,Salon CSE Bordeaux 2024,Salon Na"&amp;"ncy 2024,Réseau CFDT,Salon CSE,Réseau PRO,Réseau UNSA,UNSA transport,Parrainage,Contactys 2023,Convention Vannes 2025"</formula1>
    </dataValidation>
    <dataValidation type="list" allowBlank="1" showErrorMessage="1" sqref="E3:E5 E7:E28" xr:uid="{FD67FC8E-0FED-43AB-A608-983668022C5D}">
      <formula1>"En cours,En prospect,Refus,Reprise de contact,Signée,Signée sans convention,Pas d'intérêt,stop,signée/stop,À prospecter ,en cours de signature,Signé nouveau process"</formula1>
    </dataValidation>
    <dataValidation type="list" allowBlank="1" showErrorMessage="1" sqref="H3:H5 H7:H28" xr:uid="{324B6876-D78F-44FD-AC60-F5E83B524300}">
      <formula1>"CSE,AssociationsClubs,Partenariats annulés,Syndicats,Entreprise"</formula1>
    </dataValidation>
    <dataValidation type="list" allowBlank="1" showErrorMessage="1" sqref="H2 H6" xr:uid="{14E14AEA-FE6B-4C5E-AD0F-4938117FD3C9}">
      <formula1>"CSE,Associations,Partenariats annulés,Syndicats,Entreprise"</formula1>
    </dataValidation>
    <dataValidation type="list" allowBlank="1" showErrorMessage="1" sqref="A2:A28" xr:uid="{10C2C5E3-3518-4C16-8767-E93DAF49E598}">
      <formula1>"AOPIA,LIKEFORMATION ,CONTACTYS,LFS"</formula1>
    </dataValidation>
    <dataValidation type="list" allowBlank="1" showErrorMessage="1" sqref="E2 E6" xr:uid="{6AB305D3-BD51-4199-84C0-EB6836205E64}">
      <formula1>"En cours,En prospect,Refus,Reprise de contact,Signée,Signée sans convention,Pas d'intérêt,stop,signée/stop,À prospecter ,en cours de signature,Stand by ,Signé nouveau process"</formula1>
    </dataValidation>
    <dataValidation type="list" allowBlank="1" showErrorMessage="1" sqref="K2" xr:uid="{CD877548-C40C-4A6E-B163-4DE6A5752F80}">
      <formula1>"BERNIER,AGUIAR,BIRÉ,HÉRAULT,BLIN,BOURREL,BOUCHER,BRAULT,BRETON,CHEVARIN,CUBAUD,CZORNYJ,DANDEC,DELATTRE,DERUELLE,DURAT,FLOREK ,GAUVILLE,GRUAUD,HÉRAULT,HUARD,HUBERT,JACQUART,LABBE,LANDAIS,LE PEVEDIC,MINEAU,SALGUIERO,SINAMO,THIBAUD,TOIX,VERGNE,WEISSENBACHER,"&amp;"DELABI,LEX14,BENOIT,BIARDOUX,GAILLARD,THIOT,FLOURET,BOUTIN,COLIN,ITS62,LEX14,BROSSARD,CDI79,PCI48,EIM01,EBS41,PCI48,DPC49,FAURY,PERROT,PHILIPPEAU"</formula1>
    </dataValidation>
    <dataValidation type="list" allowBlank="1" showErrorMessage="1" sqref="L28" xr:uid="{55D92026-A03B-46F6-AF04-593A0BDF9188}">
      <formula1>"Séverine,Alain,Alexandre,Anthony,Arnaud,Aurélie,Béatrice,Christophe,Elisabeth,Fabien,Francis ,Ghislaine,Hervé,Isabelle,Isabelle ,Karine,Laure,Marie-Hélène,Martin,Maxence,Mélinda,Philippe ,Samuel,Sandrine,Sarah,Thierry,Valérie,Véronique,Victor,Wilfrid,Cédr"&amp;"iC,Gwladys,Nathalie"</formula1>
    </dataValidation>
    <dataValidation type="list" allowBlank="1" showErrorMessage="1" sqref="L4 L8:L10 L12 L15:L19 L22" xr:uid="{34894957-2EA8-4AD7-A760-B82881FB50FB}">
      <formula1>"Séverine,Alain,Alexandre,Anthony,Arnaud,Aurélie,Béatrice,Christophe,Elisabeth,Fabien,Francis ,Ghislaine,Hervé,Isabelle,Isabelle ,Karine,Laure,Marie-Hélène,Martin,Maxence,Mélinda,Philippe ,Samuel,Sandrine,Sarah,Thierry,Valérie,Véronique,Victor,Wilfrid,Cédr"&amp;"ic,Gwladys,Nathalie,Béatrice"</formula1>
    </dataValidation>
  </dataValidations>
  <hyperlinks>
    <hyperlink ref="U11" r:id="rId1" xr:uid="{BF0307FE-47CD-4722-99CE-A97E09DA654D}"/>
    <hyperlink ref="U23" r:id="rId2" xr:uid="{D248D3E5-2622-43EB-83B5-CEB754DDCE5D}"/>
    <hyperlink ref="U24" r:id="rId3" xr:uid="{25808652-A185-44B1-AE19-56EABF58BA7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MAJ</vt:lpstr>
      <vt:lpstr>Arnaud LANDAIS</vt:lpstr>
      <vt:lpstr>Alexandre FLOREK</vt:lpstr>
      <vt:lpstr>Boutique</vt:lpstr>
      <vt:lpstr>Cédrric DELABI</vt:lpstr>
      <vt:lpstr>PERMANENCES ET VENTES 2025&amp;2026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MBL IT MANAGER</dc:creator>
  <cp:lastModifiedBy>MBL IT MANAGER</cp:lastModifiedBy>
  <dcterms:created xsi:type="dcterms:W3CDTF">2026-07-01T12:58:33Z</dcterms:created>
  <dcterms:modified xsi:type="dcterms:W3CDTF">2026-07-01T13:01:37Z</dcterms:modified>
</cp:coreProperties>
</file>